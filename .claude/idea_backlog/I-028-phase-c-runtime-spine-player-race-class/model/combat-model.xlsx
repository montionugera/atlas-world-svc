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Player" sheetId="3" state="visible" r:id="rId3"/>
    <sheet name="Ladder" sheetId="4" state="visible" r:id="rId4"/>
    <sheet name="Checks" sheetId="5" state="visible" r:id="rId5"/>
  </sheets>
  <definedNames>
    <definedName name="GROWTH">Inputs!$B$5</definedName>
    <definedName name="STATCOEF">Inputs!$B$6</definedName>
    <definedName name="LVLMAX">Inputs!$B$7</definedName>
    <definedName name="BASEDPS">Inputs!$B$8</definedName>
    <definedName name="BASEHP">Inputs!$B$9</definedName>
    <definedName name="BASEDEF">Inputs!$B$10</definedName>
    <definedName name="TARGETRED">Inputs!$B$11</definedName>
    <definedName name="ATKSPD">Inputs!$B$12</definedName>
    <definedName name="CASTRATE">Inputs!$B$13</definedName>
    <definedName name="PHYSMIX">Inputs!$B$14</definedName>
    <definedName name="MSPDBASE">Inputs!$B$15</definedName>
    <definedName name="MSPDCAP">Inputs!$B$16</definedName>
    <definedName name="KANCHOR">Inputs!$B$18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AF1F8"/>
      </patternFill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Atlas combat model — live workbook</t>
        </is>
      </c>
    </row>
    <row r="2">
      <c r="A2" s="2" t="inlineStr"/>
    </row>
    <row r="3">
      <c r="A3" s="2" t="inlineStr">
        <is>
          <t>Every figure is a formula. Change the yellow cells and the whole book moves.</t>
        </is>
      </c>
    </row>
    <row r="4">
      <c r="A4" s="2" t="inlineStr"/>
    </row>
    <row r="5">
      <c r="A5" s="2" t="inlineStr">
        <is>
          <t>Inputs   the constants. GROWTH and STATCOEF are the two that reshape everything.</t>
        </is>
      </c>
    </row>
    <row r="6">
      <c r="A6" s="2" t="inlineStr">
        <is>
          <t>Player   the L1-99 curve: DPS, HP, defence, mitigation, EHP, CS at three player grades.</t>
        </is>
      </c>
    </row>
    <row r="7">
      <c r="A7" s="2" t="inlineStr">
        <is>
          <t>Ladder   per-rank mob strength and the outcome R for solo and for a correctly-sized party.</t>
        </is>
      </c>
    </row>
    <row r="8">
      <c r="A8" s="2" t="inlineStr">
        <is>
          <t>Checks   your four stated requirements plus the model invariants, recomputed live.</t>
        </is>
      </c>
    </row>
    <row r="9">
      <c r="A9" s="2" t="inlineStr"/>
    </row>
    <row r="10">
      <c r="A10" s="3" t="inlineStr">
        <is>
          <t>The core model</t>
        </is>
      </c>
    </row>
    <row r="11">
      <c r="A11" s="2" t="inlineStr">
        <is>
          <t xml:space="preserve">  pAtk  = (base + weapon) x (1 + C x str/statCap(L))     stats MULTIPLY gear, never add</t>
        </is>
      </c>
    </row>
    <row r="12">
      <c r="A12" s="2" t="inlineStr">
        <is>
          <t xml:space="preserve">  maxHP = (base + armour) x (1 + C x vit/statCap(L))</t>
        </is>
      </c>
    </row>
    <row r="13">
      <c r="A13" s="2" t="inlineStr">
        <is>
          <t xml:space="preserve">  pDef / mDef = armour only, so mitigation %% is allocation-independent</t>
        </is>
      </c>
    </row>
    <row r="14">
      <c r="A14" s="2" t="inlineStr">
        <is>
          <t xml:space="preserve">  CS    = SQRT(DPS x EHP)</t>
        </is>
      </c>
    </row>
    <row r="15">
      <c r="A15" s="2" t="inlineStr"/>
    </row>
    <row r="16">
      <c r="A16" s="3" t="inlineStr">
        <is>
          <t>The outcome metric</t>
        </is>
      </c>
    </row>
    <row r="17">
      <c r="A17" s="2" t="inlineStr">
        <is>
          <t xml:space="preserve">  R = how long you survive / how long the encounter survives.  R&gt;1 = win.</t>
        </is>
      </c>
    </row>
    <row r="18">
      <c r="A18" s="2" t="inlineStr">
        <is>
          <t xml:space="preserve">  HP left at victory = 1 - 1/R</t>
        </is>
      </c>
    </row>
    <row r="19">
      <c r="A19" s="2" t="inlineStr">
        <is>
          <t xml:space="preserve">  R_solo  = (CS_player / CS_mob)^2        &lt;- CS is the exact sufficient statistic</t>
        </is>
      </c>
    </row>
    <row r="20">
      <c r="A20" s="2" t="inlineStr">
        <is>
          <t xml:space="preserve">  R_party = R_solo x 2n/(n+1)             &lt;- n players vs n mobs, Lanchester both ways</t>
        </is>
      </c>
    </row>
    <row r="21">
      <c r="A21" s="2" t="inlineStr"/>
    </row>
    <row r="22">
      <c r="A22" s="3" t="inlineStr">
        <is>
          <t>Known gaps — deliberately NOT in this workbook</t>
        </is>
      </c>
    </row>
    <row r="23">
      <c r="A23" s="2" t="inlineStr">
        <is>
          <t xml:space="preserve">  Mana, skills and physical-vs-magic parity (see mana_level.py, parity.py).</t>
        </is>
      </c>
    </row>
    <row r="24">
      <c r="A24" s="2" t="inlineStr">
        <is>
          <t xml:space="preserve">  Crit, misses, kiting, AoE. Closed-form only; a BattleModule run is still owed.</t>
        </is>
      </c>
    </row>
    <row r="25">
      <c r="A25" s="2" t="inlineStr">
        <is>
          <t xml:space="preserve">  Jobs: R cancels the DPS/EHP split, so allocation cannot change any verdict here.</t>
        </is>
      </c>
    </row>
    <row r="26">
      <c r="A26" s="2" t="inlineStr">
        <is>
          <t xml:space="preserve">  TTK at high ranks derives to seconds, not the 3000s+ the old table assumed —</t>
        </is>
      </c>
    </row>
    <row r="27">
      <c r="A27" s="2" t="inlineStr">
        <is>
          <t xml:space="preserve">  open question whether top ranks should be n players vs ONE boss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</cols>
  <sheetData>
    <row r="1">
      <c r="A1" s="1" t="inlineStr">
        <is>
          <t>COMBAT MODEL — INPUTS</t>
        </is>
      </c>
    </row>
    <row r="2">
      <c r="A2" t="inlineStr">
        <is>
          <t>Yellow cells are editable. Everything else in the workbook recalculates from them.</t>
        </is>
      </c>
    </row>
    <row r="4">
      <c r="A4" s="4" t="inlineStr">
        <is>
          <t>constant</t>
        </is>
      </c>
      <c r="B4" s="4" t="inlineStr">
        <is>
          <t>value</t>
        </is>
      </c>
      <c r="C4" s="4" t="inlineStr">
        <is>
          <t>what it does</t>
        </is>
      </c>
    </row>
    <row r="5">
      <c r="A5" s="4" t="inlineStr">
        <is>
          <t>GROWTH</t>
        </is>
      </c>
      <c r="B5" s="5" t="n">
        <v>1.045</v>
      </c>
      <c r="C5" t="inlineStr">
        <is>
          <t>CombatScore growth per level (1.045 = +4.5%/lvl = 141% per 20)</t>
        </is>
      </c>
    </row>
    <row r="6">
      <c r="A6" s="4" t="inlineStr">
        <is>
          <t>STATCOEF</t>
        </is>
      </c>
      <c r="B6" s="5" t="n">
        <v>0.5</v>
      </c>
      <c r="C6" t="inlineStr">
        <is>
          <t>C — a stat at its level cap grants +50%. Sets the stat share at C/(1+C).</t>
        </is>
      </c>
    </row>
    <row r="7">
      <c r="A7" s="4" t="inlineStr">
        <is>
          <t>LVLMAX</t>
        </is>
      </c>
      <c r="B7" s="5" t="n">
        <v>99</v>
      </c>
      <c r="C7" t="inlineStr">
        <is>
          <t>Level cap</t>
        </is>
      </c>
    </row>
    <row r="8">
      <c r="A8" s="4" t="inlineStr">
        <is>
          <t>BASEDPS</t>
        </is>
      </c>
      <c r="B8" s="5" t="n">
        <v>20</v>
      </c>
      <c r="C8" t="inlineStr">
        <is>
          <t>L1 anchor: DPS of a fully-allocated character</t>
        </is>
      </c>
    </row>
    <row r="9">
      <c r="A9" s="4" t="inlineStr">
        <is>
          <t>BASEHP</t>
        </is>
      </c>
      <c r="B9" s="5" t="n">
        <v>100</v>
      </c>
      <c r="C9" t="inlineStr">
        <is>
          <t>L1 anchor: maxHP of a fully-allocated character</t>
        </is>
      </c>
    </row>
    <row r="10">
      <c r="A10" s="4" t="inlineStr">
        <is>
          <t>BASEDEF</t>
        </is>
      </c>
      <c r="B10" s="5" t="n">
        <v>5</v>
      </c>
      <c r="C10" t="inlineStr">
        <is>
          <t>L1 anchor: defence (armour only — stats do NOT add to def)</t>
        </is>
      </c>
    </row>
    <row r="11">
      <c r="A11" s="4" t="inlineStr">
        <is>
          <t>TARGETRED</t>
        </is>
      </c>
      <c r="B11" s="5" t="n">
        <v>0.33</v>
      </c>
      <c r="C11" t="inlineStr">
        <is>
          <t>Damage mitigation share of EHP. Held flat at every level by K(L).</t>
        </is>
      </c>
    </row>
    <row r="12">
      <c r="A12" s="4" t="inlineStr">
        <is>
          <t>ATKSPD</t>
        </is>
      </c>
      <c r="B12" s="5" t="n">
        <v>1.5</v>
      </c>
      <c r="C12" t="inlineStr">
        <is>
          <t>Attacks per second</t>
        </is>
      </c>
    </row>
    <row r="13">
      <c r="A13" s="4" t="inlineStr">
        <is>
          <t>CASTRATE</t>
        </is>
      </c>
      <c r="B13" s="5" t="n">
        <v>0.8</v>
      </c>
      <c r="C13" t="inlineStr">
        <is>
          <t>Casts per second</t>
        </is>
      </c>
    </row>
    <row r="14">
      <c r="A14" s="4" t="inlineStr">
        <is>
          <t>PHYSMIX</t>
        </is>
      </c>
      <c r="B14" s="5" t="n">
        <v>0.7</v>
      </c>
      <c r="C14" t="inlineStr">
        <is>
          <t>Share of a reference build's DPS that is physical</t>
        </is>
      </c>
    </row>
    <row r="15">
      <c r="A15" s="4" t="inlineStr">
        <is>
          <t>MSPDBASE</t>
        </is>
      </c>
      <c r="B15" s="5" t="n">
        <v>20</v>
      </c>
      <c r="C15" t="inlineStr">
        <is>
          <t>Move speed at zero AGI</t>
        </is>
      </c>
    </row>
    <row r="16">
      <c r="A16" s="4" t="inlineStr">
        <is>
          <t>MSPDCAP</t>
        </is>
      </c>
      <c r="B16" s="5" t="n">
        <v>36</v>
      </c>
      <c r="C16" t="inlineStr">
        <is>
          <t>Hard clamp on move speed, applied AFTER all buffs</t>
        </is>
      </c>
    </row>
    <row r="18">
      <c r="A18" s="4" t="inlineStr">
        <is>
          <t>KANCHOR</t>
        </is>
      </c>
      <c r="B18" s="6">
        <f>BASEDEF*(1-TARGETRED)/TARGETRED</f>
        <v/>
      </c>
      <c r="C18" t="inlineStr">
        <is>
          <t>K(1). K(L)=KANCHOR*growth — normalises defence so mitigation %% stays flat.</t>
        </is>
      </c>
    </row>
    <row r="20">
      <c r="A20" s="3" t="inlineStr">
        <is>
          <t>PLAYER GRADES</t>
        </is>
      </c>
    </row>
    <row r="21">
      <c r="A21" s="4" t="inlineStr">
        <is>
          <t>grade</t>
        </is>
      </c>
      <c r="B21" s="4" t="inlineStr">
        <is>
          <t>allocation</t>
        </is>
      </c>
      <c r="C21" s="4" t="inlineStr">
        <is>
          <t>gear scale</t>
        </is>
      </c>
      <c r="D21" s="4" t="inlineStr"/>
    </row>
    <row r="22">
      <c r="A22" s="4" t="inlineStr">
        <is>
          <t>max</t>
        </is>
      </c>
      <c r="B22" s="5" t="n">
        <v>1</v>
      </c>
      <c r="C22" s="5" t="n">
        <v>1</v>
      </c>
    </row>
    <row r="23">
      <c r="A23" s="4" t="inlineStr">
        <is>
          <t>median</t>
        </is>
      </c>
      <c r="B23" s="5" t="n">
        <v>0.7</v>
      </c>
      <c r="C23" s="5" t="n">
        <v>0.85</v>
      </c>
    </row>
    <row r="24">
      <c r="A24" s="4" t="inlineStr">
        <is>
          <t>min</t>
        </is>
      </c>
      <c r="B24" s="5" t="n">
        <v>0.4</v>
      </c>
      <c r="C24" s="5" t="n">
        <v>0.7</v>
      </c>
    </row>
    <row r="25">
      <c r="C25" t="inlineStr">
        <is>
          <t>allocation = fraction of the level's stat cap actually invested; gear scale = fraction of best-in-slot</t>
        </is>
      </c>
    </row>
    <row r="27">
      <c r="A27" s="3" t="inlineStr">
        <is>
          <t>WIN BANDS (R thresholds)</t>
        </is>
      </c>
    </row>
    <row r="28">
      <c r="A28" s="4" t="inlineStr">
        <is>
          <t>band</t>
        </is>
      </c>
      <c r="B28" s="4" t="inlineStr">
        <is>
          <t>R below</t>
        </is>
      </c>
      <c r="C28" s="4" t="inlineStr">
        <is>
          <t>meaning</t>
        </is>
      </c>
    </row>
    <row r="29">
      <c r="A29" s="4" t="inlineStr">
        <is>
          <t>LOSS</t>
        </is>
      </c>
      <c r="B29" s="5" t="n">
        <v>1</v>
      </c>
      <c r="C29" t="inlineStr">
        <is>
          <t>you die first</t>
        </is>
      </c>
    </row>
    <row r="30">
      <c r="A30" s="4" t="inlineStr">
        <is>
          <t>brutal</t>
        </is>
      </c>
      <c r="B30" s="5" t="n">
        <v>1.3</v>
      </c>
      <c r="C30" t="inlineStr">
        <is>
          <t>&lt;=23% HP left — a loss in practice</t>
        </is>
      </c>
    </row>
    <row r="31">
      <c r="A31" s="4" t="inlineStr">
        <is>
          <t>hard</t>
        </is>
      </c>
      <c r="B31" s="5" t="n">
        <v>2</v>
      </c>
      <c r="C31" t="inlineStr">
        <is>
          <t>23-50% HP left</t>
        </is>
      </c>
    </row>
    <row r="32">
      <c r="A32" s="4" t="inlineStr">
        <is>
          <t>fair</t>
        </is>
      </c>
      <c r="B32" s="5" t="n">
        <v>3.5</v>
      </c>
      <c r="C32" t="inlineStr">
        <is>
          <t>50-71% HP left</t>
        </is>
      </c>
    </row>
    <row r="33">
      <c r="A33" s="4" t="inlineStr">
        <is>
          <t>easy</t>
        </is>
      </c>
      <c r="B33" s="5" t="n">
        <v>8</v>
      </c>
      <c r="C33" t="inlineStr">
        <is>
          <t>71-87% HP left</t>
        </is>
      </c>
    </row>
    <row r="34">
      <c r="A34" s="4" t="inlineStr">
        <is>
          <t>trivial</t>
        </is>
      </c>
      <c r="B34" s="5" t="n">
        <v>9999</v>
      </c>
      <c r="C34" t="inlineStr">
        <is>
          <t>&gt;=87% HP left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2" customWidth="1" min="9" max="9"/>
    <col width="10" customWidth="1" min="10" max="10"/>
    <col width="10" customWidth="1" min="11" max="11"/>
    <col width="9" customWidth="1" min="12" max="12"/>
    <col width="13" customWidth="1" min="13" max="13"/>
    <col width="12" customWidth="1" min="14" max="14"/>
    <col width="11" customWidth="1" min="15" max="15"/>
  </cols>
  <sheetData>
    <row r="1">
      <c r="A1" s="7" t="inlineStr">
        <is>
          <t>L</t>
        </is>
      </c>
      <c r="B1" s="7" t="inlineStr">
        <is>
          <t>growth f</t>
        </is>
      </c>
      <c r="C1" s="7" t="inlineStr">
        <is>
          <t>K(L)</t>
        </is>
      </c>
      <c r="D1" s="7" t="inlineStr">
        <is>
          <t>DPS</t>
        </is>
      </c>
      <c r="E1" s="7" t="inlineStr">
        <is>
          <t>maxHP</t>
        </is>
      </c>
      <c r="F1" s="7" t="inlineStr">
        <is>
          <t>def</t>
        </is>
      </c>
      <c r="G1" s="7" t="inlineStr">
        <is>
          <t>mitigation</t>
        </is>
      </c>
      <c r="H1" s="7" t="inlineStr">
        <is>
          <t>EHP</t>
        </is>
      </c>
      <c r="I1" s="7" t="inlineStr">
        <is>
          <t>CS (max)</t>
        </is>
      </c>
      <c r="J1" s="7" t="inlineStr">
        <is>
          <t>pAtk</t>
        </is>
      </c>
      <c r="K1" s="7" t="inlineStr">
        <is>
          <t>mAtk</t>
        </is>
      </c>
      <c r="L1" s="7" t="inlineStr">
        <is>
          <t>mspd</t>
        </is>
      </c>
      <c r="M1" s="7" t="inlineStr">
        <is>
          <t>CS (median)</t>
        </is>
      </c>
      <c r="N1" s="7" t="inlineStr">
        <is>
          <t>CS (min)</t>
        </is>
      </c>
      <c r="O1" s="7" t="inlineStr">
        <is>
          <t>stat share</t>
        </is>
      </c>
    </row>
    <row r="2">
      <c r="A2" t="n">
        <v>1</v>
      </c>
      <c r="B2">
        <f>GROWTH^(A2-1)</f>
        <v/>
      </c>
      <c r="C2">
        <f>KANCHOR*B2</f>
        <v/>
      </c>
      <c r="D2">
        <f>BASEDPS*B2/(1+STATCOEF)*(1+STATCOEF*Inputs!$B$22)*Inputs!$C$22</f>
        <v/>
      </c>
      <c r="E2">
        <f>BASEHP*B2/(1+STATCOEF)*(1+STATCOEF*Inputs!$B$22)*Inputs!$C$22</f>
        <v/>
      </c>
      <c r="F2">
        <f>BASEDEF*B2*Inputs!$C$22</f>
        <v/>
      </c>
      <c r="G2" s="8">
        <f>F2/(F2+C2)</f>
        <v/>
      </c>
      <c r="H2">
        <f>E2/(1-G2)</f>
        <v/>
      </c>
      <c r="I2">
        <f>SQRT(D2*H2)</f>
        <v/>
      </c>
      <c r="J2">
        <f>D2*PHYSMIX/ATKSPD</f>
        <v/>
      </c>
      <c r="K2">
        <f>D2*(1-PHYSMIX)/CASTRATE</f>
        <v/>
      </c>
      <c r="L2">
        <f>MIN(MSPDBASE*(1+STATCOEF*Inputs!$B$22),MSPDCAP)</f>
        <v/>
      </c>
      <c r="M2">
        <f>SQRT((BASEDPS*B2/(1+STATCOEF)*(1+STATCOEF*Inputs!$B$23)*Inputs!$C$23)*(BASEHP*B2/(1+STATCOEF)*(1+STATCOEF*Inputs!$B$23)*Inputs!$C$23)/(1-(BASEDEF*B2*Inputs!$C$23)/((BASEDEF*B2*Inputs!$C$23)+C2)))</f>
        <v/>
      </c>
      <c r="N2">
        <f>SQRT((BASEDPS*B2/(1+STATCOEF)*(1+STATCOEF*Inputs!$B$24)*Inputs!$C$24)*(BASEHP*B2/(1+STATCOEF)*(1+STATCOEF*Inputs!$B$24)*Inputs!$C$24)/(1-(BASEDEF*B2*Inputs!$C$24)/((BASEDEF*B2*Inputs!$C$24)+C2)))</f>
        <v/>
      </c>
      <c r="O2" s="9">
        <f>1-SQRT((BASEDPS*B2/(1+STATCOEF))*(BASEHP*B2/(1+STATCOEF))/(1-F2/(F2+C2)))/I2</f>
        <v/>
      </c>
    </row>
    <row r="3">
      <c r="A3" t="n">
        <v>2</v>
      </c>
      <c r="B3">
        <f>GROWTH^(A3-1)</f>
        <v/>
      </c>
      <c r="C3">
        <f>KANCHOR*B3</f>
        <v/>
      </c>
      <c r="D3">
        <f>BASEDPS*B3/(1+STATCOEF)*(1+STATCOEF*Inputs!$B$22)*Inputs!$C$22</f>
        <v/>
      </c>
      <c r="E3">
        <f>BASEHP*B3/(1+STATCOEF)*(1+STATCOEF*Inputs!$B$22)*Inputs!$C$22</f>
        <v/>
      </c>
      <c r="F3">
        <f>BASEDEF*B3*Inputs!$C$22</f>
        <v/>
      </c>
      <c r="G3" s="8">
        <f>F3/(F3+C3)</f>
        <v/>
      </c>
      <c r="H3">
        <f>E3/(1-G3)</f>
        <v/>
      </c>
      <c r="I3">
        <f>SQRT(D3*H3)</f>
        <v/>
      </c>
      <c r="J3">
        <f>D3*PHYSMIX/ATKSPD</f>
        <v/>
      </c>
      <c r="K3">
        <f>D3*(1-PHYSMIX)/CASTRATE</f>
        <v/>
      </c>
      <c r="L3">
        <f>MIN(MSPDBASE*(1+STATCOEF*Inputs!$B$22),MSPDCAP)</f>
        <v/>
      </c>
      <c r="M3">
        <f>SQRT((BASEDPS*B3/(1+STATCOEF)*(1+STATCOEF*Inputs!$B$23)*Inputs!$C$23)*(BASEHP*B3/(1+STATCOEF)*(1+STATCOEF*Inputs!$B$23)*Inputs!$C$23)/(1-(BASEDEF*B3*Inputs!$C$23)/((BASEDEF*B3*Inputs!$C$23)+C3)))</f>
        <v/>
      </c>
      <c r="N3">
        <f>SQRT((BASEDPS*B3/(1+STATCOEF)*(1+STATCOEF*Inputs!$B$24)*Inputs!$C$24)*(BASEHP*B3/(1+STATCOEF)*(1+STATCOEF*Inputs!$B$24)*Inputs!$C$24)/(1-(BASEDEF*B3*Inputs!$C$24)/((BASEDEF*B3*Inputs!$C$24)+C3)))</f>
        <v/>
      </c>
      <c r="O3" s="9">
        <f>1-SQRT((BASEDPS*B3/(1+STATCOEF))*(BASEHP*B3/(1+STATCOEF))/(1-F3/(F3+C3)))/I3</f>
        <v/>
      </c>
    </row>
    <row r="4">
      <c r="A4" t="n">
        <v>3</v>
      </c>
      <c r="B4">
        <f>GROWTH^(A4-1)</f>
        <v/>
      </c>
      <c r="C4">
        <f>KANCHOR*B4</f>
        <v/>
      </c>
      <c r="D4">
        <f>BASEDPS*B4/(1+STATCOEF)*(1+STATCOEF*Inputs!$B$22)*Inputs!$C$22</f>
        <v/>
      </c>
      <c r="E4">
        <f>BASEHP*B4/(1+STATCOEF)*(1+STATCOEF*Inputs!$B$22)*Inputs!$C$22</f>
        <v/>
      </c>
      <c r="F4">
        <f>BASEDEF*B4*Inputs!$C$22</f>
        <v/>
      </c>
      <c r="G4" s="8">
        <f>F4/(F4+C4)</f>
        <v/>
      </c>
      <c r="H4">
        <f>E4/(1-G4)</f>
        <v/>
      </c>
      <c r="I4">
        <f>SQRT(D4*H4)</f>
        <v/>
      </c>
      <c r="J4">
        <f>D4*PHYSMIX/ATKSPD</f>
        <v/>
      </c>
      <c r="K4">
        <f>D4*(1-PHYSMIX)/CASTRATE</f>
        <v/>
      </c>
      <c r="L4">
        <f>MIN(MSPDBASE*(1+STATCOEF*Inputs!$B$22),MSPDCAP)</f>
        <v/>
      </c>
      <c r="M4">
        <f>SQRT((BASEDPS*B4/(1+STATCOEF)*(1+STATCOEF*Inputs!$B$23)*Inputs!$C$23)*(BASEHP*B4/(1+STATCOEF)*(1+STATCOEF*Inputs!$B$23)*Inputs!$C$23)/(1-(BASEDEF*B4*Inputs!$C$23)/((BASEDEF*B4*Inputs!$C$23)+C4)))</f>
        <v/>
      </c>
      <c r="N4">
        <f>SQRT((BASEDPS*B4/(1+STATCOEF)*(1+STATCOEF*Inputs!$B$24)*Inputs!$C$24)*(BASEHP*B4/(1+STATCOEF)*(1+STATCOEF*Inputs!$B$24)*Inputs!$C$24)/(1-(BASEDEF*B4*Inputs!$C$24)/((BASEDEF*B4*Inputs!$C$24)+C4)))</f>
        <v/>
      </c>
      <c r="O4" s="9">
        <f>1-SQRT((BASEDPS*B4/(1+STATCOEF))*(BASEHP*B4/(1+STATCOEF))/(1-F4/(F4+C4)))/I4</f>
        <v/>
      </c>
    </row>
    <row r="5">
      <c r="A5" t="n">
        <v>4</v>
      </c>
      <c r="B5">
        <f>GROWTH^(A5-1)</f>
        <v/>
      </c>
      <c r="C5">
        <f>KANCHOR*B5</f>
        <v/>
      </c>
      <c r="D5">
        <f>BASEDPS*B5/(1+STATCOEF)*(1+STATCOEF*Inputs!$B$22)*Inputs!$C$22</f>
        <v/>
      </c>
      <c r="E5">
        <f>BASEHP*B5/(1+STATCOEF)*(1+STATCOEF*Inputs!$B$22)*Inputs!$C$22</f>
        <v/>
      </c>
      <c r="F5">
        <f>BASEDEF*B5*Inputs!$C$22</f>
        <v/>
      </c>
      <c r="G5" s="8">
        <f>F5/(F5+C5)</f>
        <v/>
      </c>
      <c r="H5">
        <f>E5/(1-G5)</f>
        <v/>
      </c>
      <c r="I5">
        <f>SQRT(D5*H5)</f>
        <v/>
      </c>
      <c r="J5">
        <f>D5*PHYSMIX/ATKSPD</f>
        <v/>
      </c>
      <c r="K5">
        <f>D5*(1-PHYSMIX)/CASTRATE</f>
        <v/>
      </c>
      <c r="L5">
        <f>MIN(MSPDBASE*(1+STATCOEF*Inputs!$B$22),MSPDCAP)</f>
        <v/>
      </c>
      <c r="M5">
        <f>SQRT((BASEDPS*B5/(1+STATCOEF)*(1+STATCOEF*Inputs!$B$23)*Inputs!$C$23)*(BASEHP*B5/(1+STATCOEF)*(1+STATCOEF*Inputs!$B$23)*Inputs!$C$23)/(1-(BASEDEF*B5*Inputs!$C$23)/((BASEDEF*B5*Inputs!$C$23)+C5)))</f>
        <v/>
      </c>
      <c r="N5">
        <f>SQRT((BASEDPS*B5/(1+STATCOEF)*(1+STATCOEF*Inputs!$B$24)*Inputs!$C$24)*(BASEHP*B5/(1+STATCOEF)*(1+STATCOEF*Inputs!$B$24)*Inputs!$C$24)/(1-(BASEDEF*B5*Inputs!$C$24)/((BASEDEF*B5*Inputs!$C$24)+C5)))</f>
        <v/>
      </c>
      <c r="O5" s="9">
        <f>1-SQRT((BASEDPS*B5/(1+STATCOEF))*(BASEHP*B5/(1+STATCOEF))/(1-F5/(F5+C5)))/I5</f>
        <v/>
      </c>
    </row>
    <row r="6">
      <c r="A6" t="n">
        <v>5</v>
      </c>
      <c r="B6">
        <f>GROWTH^(A6-1)</f>
        <v/>
      </c>
      <c r="C6">
        <f>KANCHOR*B6</f>
        <v/>
      </c>
      <c r="D6">
        <f>BASEDPS*B6/(1+STATCOEF)*(1+STATCOEF*Inputs!$B$22)*Inputs!$C$22</f>
        <v/>
      </c>
      <c r="E6">
        <f>BASEHP*B6/(1+STATCOEF)*(1+STATCOEF*Inputs!$B$22)*Inputs!$C$22</f>
        <v/>
      </c>
      <c r="F6">
        <f>BASEDEF*B6*Inputs!$C$22</f>
        <v/>
      </c>
      <c r="G6" s="8">
        <f>F6/(F6+C6)</f>
        <v/>
      </c>
      <c r="H6">
        <f>E6/(1-G6)</f>
        <v/>
      </c>
      <c r="I6">
        <f>SQRT(D6*H6)</f>
        <v/>
      </c>
      <c r="J6">
        <f>D6*PHYSMIX/ATKSPD</f>
        <v/>
      </c>
      <c r="K6">
        <f>D6*(1-PHYSMIX)/CASTRATE</f>
        <v/>
      </c>
      <c r="L6">
        <f>MIN(MSPDBASE*(1+STATCOEF*Inputs!$B$22),MSPDCAP)</f>
        <v/>
      </c>
      <c r="M6">
        <f>SQRT((BASEDPS*B6/(1+STATCOEF)*(1+STATCOEF*Inputs!$B$23)*Inputs!$C$23)*(BASEHP*B6/(1+STATCOEF)*(1+STATCOEF*Inputs!$B$23)*Inputs!$C$23)/(1-(BASEDEF*B6*Inputs!$C$23)/((BASEDEF*B6*Inputs!$C$23)+C6)))</f>
        <v/>
      </c>
      <c r="N6">
        <f>SQRT((BASEDPS*B6/(1+STATCOEF)*(1+STATCOEF*Inputs!$B$24)*Inputs!$C$24)*(BASEHP*B6/(1+STATCOEF)*(1+STATCOEF*Inputs!$B$24)*Inputs!$C$24)/(1-(BASEDEF*B6*Inputs!$C$24)/((BASEDEF*B6*Inputs!$C$24)+C6)))</f>
        <v/>
      </c>
      <c r="O6" s="9">
        <f>1-SQRT((BASEDPS*B6/(1+STATCOEF))*(BASEHP*B6/(1+STATCOEF))/(1-F6/(F6+C6)))/I6</f>
        <v/>
      </c>
    </row>
    <row r="7">
      <c r="A7" t="n">
        <v>6</v>
      </c>
      <c r="B7">
        <f>GROWTH^(A7-1)</f>
        <v/>
      </c>
      <c r="C7">
        <f>KANCHOR*B7</f>
        <v/>
      </c>
      <c r="D7">
        <f>BASEDPS*B7/(1+STATCOEF)*(1+STATCOEF*Inputs!$B$22)*Inputs!$C$22</f>
        <v/>
      </c>
      <c r="E7">
        <f>BASEHP*B7/(1+STATCOEF)*(1+STATCOEF*Inputs!$B$22)*Inputs!$C$22</f>
        <v/>
      </c>
      <c r="F7">
        <f>BASEDEF*B7*Inputs!$C$22</f>
        <v/>
      </c>
      <c r="G7" s="8">
        <f>F7/(F7+C7)</f>
        <v/>
      </c>
      <c r="H7">
        <f>E7/(1-G7)</f>
        <v/>
      </c>
      <c r="I7">
        <f>SQRT(D7*H7)</f>
        <v/>
      </c>
      <c r="J7">
        <f>D7*PHYSMIX/ATKSPD</f>
        <v/>
      </c>
      <c r="K7">
        <f>D7*(1-PHYSMIX)/CASTRATE</f>
        <v/>
      </c>
      <c r="L7">
        <f>MIN(MSPDBASE*(1+STATCOEF*Inputs!$B$22),MSPDCAP)</f>
        <v/>
      </c>
      <c r="M7">
        <f>SQRT((BASEDPS*B7/(1+STATCOEF)*(1+STATCOEF*Inputs!$B$23)*Inputs!$C$23)*(BASEHP*B7/(1+STATCOEF)*(1+STATCOEF*Inputs!$B$23)*Inputs!$C$23)/(1-(BASEDEF*B7*Inputs!$C$23)/((BASEDEF*B7*Inputs!$C$23)+C7)))</f>
        <v/>
      </c>
      <c r="N7">
        <f>SQRT((BASEDPS*B7/(1+STATCOEF)*(1+STATCOEF*Inputs!$B$24)*Inputs!$C$24)*(BASEHP*B7/(1+STATCOEF)*(1+STATCOEF*Inputs!$B$24)*Inputs!$C$24)/(1-(BASEDEF*B7*Inputs!$C$24)/((BASEDEF*B7*Inputs!$C$24)+C7)))</f>
        <v/>
      </c>
      <c r="O7" s="9">
        <f>1-SQRT((BASEDPS*B7/(1+STATCOEF))*(BASEHP*B7/(1+STATCOEF))/(1-F7/(F7+C7)))/I7</f>
        <v/>
      </c>
    </row>
    <row r="8">
      <c r="A8" t="n">
        <v>7</v>
      </c>
      <c r="B8">
        <f>GROWTH^(A8-1)</f>
        <v/>
      </c>
      <c r="C8">
        <f>KANCHOR*B8</f>
        <v/>
      </c>
      <c r="D8">
        <f>BASEDPS*B8/(1+STATCOEF)*(1+STATCOEF*Inputs!$B$22)*Inputs!$C$22</f>
        <v/>
      </c>
      <c r="E8">
        <f>BASEHP*B8/(1+STATCOEF)*(1+STATCOEF*Inputs!$B$22)*Inputs!$C$22</f>
        <v/>
      </c>
      <c r="F8">
        <f>BASEDEF*B8*Inputs!$C$22</f>
        <v/>
      </c>
      <c r="G8" s="8">
        <f>F8/(F8+C8)</f>
        <v/>
      </c>
      <c r="H8">
        <f>E8/(1-G8)</f>
        <v/>
      </c>
      <c r="I8">
        <f>SQRT(D8*H8)</f>
        <v/>
      </c>
      <c r="J8">
        <f>D8*PHYSMIX/ATKSPD</f>
        <v/>
      </c>
      <c r="K8">
        <f>D8*(1-PHYSMIX)/CASTRATE</f>
        <v/>
      </c>
      <c r="L8">
        <f>MIN(MSPDBASE*(1+STATCOEF*Inputs!$B$22),MSPDCAP)</f>
        <v/>
      </c>
      <c r="M8">
        <f>SQRT((BASEDPS*B8/(1+STATCOEF)*(1+STATCOEF*Inputs!$B$23)*Inputs!$C$23)*(BASEHP*B8/(1+STATCOEF)*(1+STATCOEF*Inputs!$B$23)*Inputs!$C$23)/(1-(BASEDEF*B8*Inputs!$C$23)/((BASEDEF*B8*Inputs!$C$23)+C8)))</f>
        <v/>
      </c>
      <c r="N8">
        <f>SQRT((BASEDPS*B8/(1+STATCOEF)*(1+STATCOEF*Inputs!$B$24)*Inputs!$C$24)*(BASEHP*B8/(1+STATCOEF)*(1+STATCOEF*Inputs!$B$24)*Inputs!$C$24)/(1-(BASEDEF*B8*Inputs!$C$24)/((BASEDEF*B8*Inputs!$C$24)+C8)))</f>
        <v/>
      </c>
      <c r="O8" s="9">
        <f>1-SQRT((BASEDPS*B8/(1+STATCOEF))*(BASEHP*B8/(1+STATCOEF))/(1-F8/(F8+C8)))/I8</f>
        <v/>
      </c>
    </row>
    <row r="9">
      <c r="A9" t="n">
        <v>8</v>
      </c>
      <c r="B9">
        <f>GROWTH^(A9-1)</f>
        <v/>
      </c>
      <c r="C9">
        <f>KANCHOR*B9</f>
        <v/>
      </c>
      <c r="D9">
        <f>BASEDPS*B9/(1+STATCOEF)*(1+STATCOEF*Inputs!$B$22)*Inputs!$C$22</f>
        <v/>
      </c>
      <c r="E9">
        <f>BASEHP*B9/(1+STATCOEF)*(1+STATCOEF*Inputs!$B$22)*Inputs!$C$22</f>
        <v/>
      </c>
      <c r="F9">
        <f>BASEDEF*B9*Inputs!$C$22</f>
        <v/>
      </c>
      <c r="G9" s="8">
        <f>F9/(F9+C9)</f>
        <v/>
      </c>
      <c r="H9">
        <f>E9/(1-G9)</f>
        <v/>
      </c>
      <c r="I9">
        <f>SQRT(D9*H9)</f>
        <v/>
      </c>
      <c r="J9">
        <f>D9*PHYSMIX/ATKSPD</f>
        <v/>
      </c>
      <c r="K9">
        <f>D9*(1-PHYSMIX)/CASTRATE</f>
        <v/>
      </c>
      <c r="L9">
        <f>MIN(MSPDBASE*(1+STATCOEF*Inputs!$B$22),MSPDCAP)</f>
        <v/>
      </c>
      <c r="M9">
        <f>SQRT((BASEDPS*B9/(1+STATCOEF)*(1+STATCOEF*Inputs!$B$23)*Inputs!$C$23)*(BASEHP*B9/(1+STATCOEF)*(1+STATCOEF*Inputs!$B$23)*Inputs!$C$23)/(1-(BASEDEF*B9*Inputs!$C$23)/((BASEDEF*B9*Inputs!$C$23)+C9)))</f>
        <v/>
      </c>
      <c r="N9">
        <f>SQRT((BASEDPS*B9/(1+STATCOEF)*(1+STATCOEF*Inputs!$B$24)*Inputs!$C$24)*(BASEHP*B9/(1+STATCOEF)*(1+STATCOEF*Inputs!$B$24)*Inputs!$C$24)/(1-(BASEDEF*B9*Inputs!$C$24)/((BASEDEF*B9*Inputs!$C$24)+C9)))</f>
        <v/>
      </c>
      <c r="O9" s="9">
        <f>1-SQRT((BASEDPS*B9/(1+STATCOEF))*(BASEHP*B9/(1+STATCOEF))/(1-F9/(F9+C9)))/I9</f>
        <v/>
      </c>
    </row>
    <row r="10">
      <c r="A10" t="n">
        <v>9</v>
      </c>
      <c r="B10">
        <f>GROWTH^(A10-1)</f>
        <v/>
      </c>
      <c r="C10">
        <f>KANCHOR*B10</f>
        <v/>
      </c>
      <c r="D10">
        <f>BASEDPS*B10/(1+STATCOEF)*(1+STATCOEF*Inputs!$B$22)*Inputs!$C$22</f>
        <v/>
      </c>
      <c r="E10">
        <f>BASEHP*B10/(1+STATCOEF)*(1+STATCOEF*Inputs!$B$22)*Inputs!$C$22</f>
        <v/>
      </c>
      <c r="F10">
        <f>BASEDEF*B10*Inputs!$C$22</f>
        <v/>
      </c>
      <c r="G10" s="8">
        <f>F10/(F10+C10)</f>
        <v/>
      </c>
      <c r="H10">
        <f>E10/(1-G10)</f>
        <v/>
      </c>
      <c r="I10">
        <f>SQRT(D10*H10)</f>
        <v/>
      </c>
      <c r="J10">
        <f>D10*PHYSMIX/ATKSPD</f>
        <v/>
      </c>
      <c r="K10">
        <f>D10*(1-PHYSMIX)/CASTRATE</f>
        <v/>
      </c>
      <c r="L10">
        <f>MIN(MSPDBASE*(1+STATCOEF*Inputs!$B$22),MSPDCAP)</f>
        <v/>
      </c>
      <c r="M10">
        <f>SQRT((BASEDPS*B10/(1+STATCOEF)*(1+STATCOEF*Inputs!$B$23)*Inputs!$C$23)*(BASEHP*B10/(1+STATCOEF)*(1+STATCOEF*Inputs!$B$23)*Inputs!$C$23)/(1-(BASEDEF*B10*Inputs!$C$23)/((BASEDEF*B10*Inputs!$C$23)+C10)))</f>
        <v/>
      </c>
      <c r="N10">
        <f>SQRT((BASEDPS*B10/(1+STATCOEF)*(1+STATCOEF*Inputs!$B$24)*Inputs!$C$24)*(BASEHP*B10/(1+STATCOEF)*(1+STATCOEF*Inputs!$B$24)*Inputs!$C$24)/(1-(BASEDEF*B10*Inputs!$C$24)/((BASEDEF*B10*Inputs!$C$24)+C10)))</f>
        <v/>
      </c>
      <c r="O10" s="9">
        <f>1-SQRT((BASEDPS*B10/(1+STATCOEF))*(BASEHP*B10/(1+STATCOEF))/(1-F10/(F10+C10)))/I10</f>
        <v/>
      </c>
    </row>
    <row r="11">
      <c r="A11" t="n">
        <v>10</v>
      </c>
      <c r="B11">
        <f>GROWTH^(A11-1)</f>
        <v/>
      </c>
      <c r="C11">
        <f>KANCHOR*B11</f>
        <v/>
      </c>
      <c r="D11">
        <f>BASEDPS*B11/(1+STATCOEF)*(1+STATCOEF*Inputs!$B$22)*Inputs!$C$22</f>
        <v/>
      </c>
      <c r="E11">
        <f>BASEHP*B11/(1+STATCOEF)*(1+STATCOEF*Inputs!$B$22)*Inputs!$C$22</f>
        <v/>
      </c>
      <c r="F11">
        <f>BASEDEF*B11*Inputs!$C$22</f>
        <v/>
      </c>
      <c r="G11" s="8">
        <f>F11/(F11+C11)</f>
        <v/>
      </c>
      <c r="H11">
        <f>E11/(1-G11)</f>
        <v/>
      </c>
      <c r="I11">
        <f>SQRT(D11*H11)</f>
        <v/>
      </c>
      <c r="J11">
        <f>D11*PHYSMIX/ATKSPD</f>
        <v/>
      </c>
      <c r="K11">
        <f>D11*(1-PHYSMIX)/CASTRATE</f>
        <v/>
      </c>
      <c r="L11">
        <f>MIN(MSPDBASE*(1+STATCOEF*Inputs!$B$22),MSPDCAP)</f>
        <v/>
      </c>
      <c r="M11">
        <f>SQRT((BASEDPS*B11/(1+STATCOEF)*(1+STATCOEF*Inputs!$B$23)*Inputs!$C$23)*(BASEHP*B11/(1+STATCOEF)*(1+STATCOEF*Inputs!$B$23)*Inputs!$C$23)/(1-(BASEDEF*B11*Inputs!$C$23)/((BASEDEF*B11*Inputs!$C$23)+C11)))</f>
        <v/>
      </c>
      <c r="N11">
        <f>SQRT((BASEDPS*B11/(1+STATCOEF)*(1+STATCOEF*Inputs!$B$24)*Inputs!$C$24)*(BASEHP*B11/(1+STATCOEF)*(1+STATCOEF*Inputs!$B$24)*Inputs!$C$24)/(1-(BASEDEF*B11*Inputs!$C$24)/((BASEDEF*B11*Inputs!$C$24)+C11)))</f>
        <v/>
      </c>
      <c r="O11" s="9">
        <f>1-SQRT((BASEDPS*B11/(1+STATCOEF))*(BASEHP*B11/(1+STATCOEF))/(1-F11/(F11+C11)))/I11</f>
        <v/>
      </c>
    </row>
    <row r="12">
      <c r="A12" t="n">
        <v>11</v>
      </c>
      <c r="B12">
        <f>GROWTH^(A12-1)</f>
        <v/>
      </c>
      <c r="C12">
        <f>KANCHOR*B12</f>
        <v/>
      </c>
      <c r="D12">
        <f>BASEDPS*B12/(1+STATCOEF)*(1+STATCOEF*Inputs!$B$22)*Inputs!$C$22</f>
        <v/>
      </c>
      <c r="E12">
        <f>BASEHP*B12/(1+STATCOEF)*(1+STATCOEF*Inputs!$B$22)*Inputs!$C$22</f>
        <v/>
      </c>
      <c r="F12">
        <f>BASEDEF*B12*Inputs!$C$22</f>
        <v/>
      </c>
      <c r="G12" s="8">
        <f>F12/(F12+C12)</f>
        <v/>
      </c>
      <c r="H12">
        <f>E12/(1-G12)</f>
        <v/>
      </c>
      <c r="I12">
        <f>SQRT(D12*H12)</f>
        <v/>
      </c>
      <c r="J12">
        <f>D12*PHYSMIX/ATKSPD</f>
        <v/>
      </c>
      <c r="K12">
        <f>D12*(1-PHYSMIX)/CASTRATE</f>
        <v/>
      </c>
      <c r="L12">
        <f>MIN(MSPDBASE*(1+STATCOEF*Inputs!$B$22),MSPDCAP)</f>
        <v/>
      </c>
      <c r="M12">
        <f>SQRT((BASEDPS*B12/(1+STATCOEF)*(1+STATCOEF*Inputs!$B$23)*Inputs!$C$23)*(BASEHP*B12/(1+STATCOEF)*(1+STATCOEF*Inputs!$B$23)*Inputs!$C$23)/(1-(BASEDEF*B12*Inputs!$C$23)/((BASEDEF*B12*Inputs!$C$23)+C12)))</f>
        <v/>
      </c>
      <c r="N12">
        <f>SQRT((BASEDPS*B12/(1+STATCOEF)*(1+STATCOEF*Inputs!$B$24)*Inputs!$C$24)*(BASEHP*B12/(1+STATCOEF)*(1+STATCOEF*Inputs!$B$24)*Inputs!$C$24)/(1-(BASEDEF*B12*Inputs!$C$24)/((BASEDEF*B12*Inputs!$C$24)+C12)))</f>
        <v/>
      </c>
      <c r="O12" s="9">
        <f>1-SQRT((BASEDPS*B12/(1+STATCOEF))*(BASEHP*B12/(1+STATCOEF))/(1-F12/(F12+C12)))/I12</f>
        <v/>
      </c>
    </row>
    <row r="13">
      <c r="A13" t="n">
        <v>12</v>
      </c>
      <c r="B13">
        <f>GROWTH^(A13-1)</f>
        <v/>
      </c>
      <c r="C13">
        <f>KANCHOR*B13</f>
        <v/>
      </c>
      <c r="D13">
        <f>BASEDPS*B13/(1+STATCOEF)*(1+STATCOEF*Inputs!$B$22)*Inputs!$C$22</f>
        <v/>
      </c>
      <c r="E13">
        <f>BASEHP*B13/(1+STATCOEF)*(1+STATCOEF*Inputs!$B$22)*Inputs!$C$22</f>
        <v/>
      </c>
      <c r="F13">
        <f>BASEDEF*B13*Inputs!$C$22</f>
        <v/>
      </c>
      <c r="G13" s="8">
        <f>F13/(F13+C13)</f>
        <v/>
      </c>
      <c r="H13">
        <f>E13/(1-G13)</f>
        <v/>
      </c>
      <c r="I13">
        <f>SQRT(D13*H13)</f>
        <v/>
      </c>
      <c r="J13">
        <f>D13*PHYSMIX/ATKSPD</f>
        <v/>
      </c>
      <c r="K13">
        <f>D13*(1-PHYSMIX)/CASTRATE</f>
        <v/>
      </c>
      <c r="L13">
        <f>MIN(MSPDBASE*(1+STATCOEF*Inputs!$B$22),MSPDCAP)</f>
        <v/>
      </c>
      <c r="M13">
        <f>SQRT((BASEDPS*B13/(1+STATCOEF)*(1+STATCOEF*Inputs!$B$23)*Inputs!$C$23)*(BASEHP*B13/(1+STATCOEF)*(1+STATCOEF*Inputs!$B$23)*Inputs!$C$23)/(1-(BASEDEF*B13*Inputs!$C$23)/((BASEDEF*B13*Inputs!$C$23)+C13)))</f>
        <v/>
      </c>
      <c r="N13">
        <f>SQRT((BASEDPS*B13/(1+STATCOEF)*(1+STATCOEF*Inputs!$B$24)*Inputs!$C$24)*(BASEHP*B13/(1+STATCOEF)*(1+STATCOEF*Inputs!$B$24)*Inputs!$C$24)/(1-(BASEDEF*B13*Inputs!$C$24)/((BASEDEF*B13*Inputs!$C$24)+C13)))</f>
        <v/>
      </c>
      <c r="O13" s="9">
        <f>1-SQRT((BASEDPS*B13/(1+STATCOEF))*(BASEHP*B13/(1+STATCOEF))/(1-F13/(F13+C13)))/I13</f>
        <v/>
      </c>
    </row>
    <row r="14">
      <c r="A14" t="n">
        <v>13</v>
      </c>
      <c r="B14">
        <f>GROWTH^(A14-1)</f>
        <v/>
      </c>
      <c r="C14">
        <f>KANCHOR*B14</f>
        <v/>
      </c>
      <c r="D14">
        <f>BASEDPS*B14/(1+STATCOEF)*(1+STATCOEF*Inputs!$B$22)*Inputs!$C$22</f>
        <v/>
      </c>
      <c r="E14">
        <f>BASEHP*B14/(1+STATCOEF)*(1+STATCOEF*Inputs!$B$22)*Inputs!$C$22</f>
        <v/>
      </c>
      <c r="F14">
        <f>BASEDEF*B14*Inputs!$C$22</f>
        <v/>
      </c>
      <c r="G14" s="8">
        <f>F14/(F14+C14)</f>
        <v/>
      </c>
      <c r="H14">
        <f>E14/(1-G14)</f>
        <v/>
      </c>
      <c r="I14">
        <f>SQRT(D14*H14)</f>
        <v/>
      </c>
      <c r="J14">
        <f>D14*PHYSMIX/ATKSPD</f>
        <v/>
      </c>
      <c r="K14">
        <f>D14*(1-PHYSMIX)/CASTRATE</f>
        <v/>
      </c>
      <c r="L14">
        <f>MIN(MSPDBASE*(1+STATCOEF*Inputs!$B$22),MSPDCAP)</f>
        <v/>
      </c>
      <c r="M14">
        <f>SQRT((BASEDPS*B14/(1+STATCOEF)*(1+STATCOEF*Inputs!$B$23)*Inputs!$C$23)*(BASEHP*B14/(1+STATCOEF)*(1+STATCOEF*Inputs!$B$23)*Inputs!$C$23)/(1-(BASEDEF*B14*Inputs!$C$23)/((BASEDEF*B14*Inputs!$C$23)+C14)))</f>
        <v/>
      </c>
      <c r="N14">
        <f>SQRT((BASEDPS*B14/(1+STATCOEF)*(1+STATCOEF*Inputs!$B$24)*Inputs!$C$24)*(BASEHP*B14/(1+STATCOEF)*(1+STATCOEF*Inputs!$B$24)*Inputs!$C$24)/(1-(BASEDEF*B14*Inputs!$C$24)/((BASEDEF*B14*Inputs!$C$24)+C14)))</f>
        <v/>
      </c>
      <c r="O14" s="9">
        <f>1-SQRT((BASEDPS*B14/(1+STATCOEF))*(BASEHP*B14/(1+STATCOEF))/(1-F14/(F14+C14)))/I14</f>
        <v/>
      </c>
    </row>
    <row r="15">
      <c r="A15" t="n">
        <v>14</v>
      </c>
      <c r="B15">
        <f>GROWTH^(A15-1)</f>
        <v/>
      </c>
      <c r="C15">
        <f>KANCHOR*B15</f>
        <v/>
      </c>
      <c r="D15">
        <f>BASEDPS*B15/(1+STATCOEF)*(1+STATCOEF*Inputs!$B$22)*Inputs!$C$22</f>
        <v/>
      </c>
      <c r="E15">
        <f>BASEHP*B15/(1+STATCOEF)*(1+STATCOEF*Inputs!$B$22)*Inputs!$C$22</f>
        <v/>
      </c>
      <c r="F15">
        <f>BASEDEF*B15*Inputs!$C$22</f>
        <v/>
      </c>
      <c r="G15" s="8">
        <f>F15/(F15+C15)</f>
        <v/>
      </c>
      <c r="H15">
        <f>E15/(1-G15)</f>
        <v/>
      </c>
      <c r="I15">
        <f>SQRT(D15*H15)</f>
        <v/>
      </c>
      <c r="J15">
        <f>D15*PHYSMIX/ATKSPD</f>
        <v/>
      </c>
      <c r="K15">
        <f>D15*(1-PHYSMIX)/CASTRATE</f>
        <v/>
      </c>
      <c r="L15">
        <f>MIN(MSPDBASE*(1+STATCOEF*Inputs!$B$22),MSPDCAP)</f>
        <v/>
      </c>
      <c r="M15">
        <f>SQRT((BASEDPS*B15/(1+STATCOEF)*(1+STATCOEF*Inputs!$B$23)*Inputs!$C$23)*(BASEHP*B15/(1+STATCOEF)*(1+STATCOEF*Inputs!$B$23)*Inputs!$C$23)/(1-(BASEDEF*B15*Inputs!$C$23)/((BASEDEF*B15*Inputs!$C$23)+C15)))</f>
        <v/>
      </c>
      <c r="N15">
        <f>SQRT((BASEDPS*B15/(1+STATCOEF)*(1+STATCOEF*Inputs!$B$24)*Inputs!$C$24)*(BASEHP*B15/(1+STATCOEF)*(1+STATCOEF*Inputs!$B$24)*Inputs!$C$24)/(1-(BASEDEF*B15*Inputs!$C$24)/((BASEDEF*B15*Inputs!$C$24)+C15)))</f>
        <v/>
      </c>
      <c r="O15" s="9">
        <f>1-SQRT((BASEDPS*B15/(1+STATCOEF))*(BASEHP*B15/(1+STATCOEF))/(1-F15/(F15+C15)))/I15</f>
        <v/>
      </c>
    </row>
    <row r="16">
      <c r="A16" t="n">
        <v>15</v>
      </c>
      <c r="B16">
        <f>GROWTH^(A16-1)</f>
        <v/>
      </c>
      <c r="C16">
        <f>KANCHOR*B16</f>
        <v/>
      </c>
      <c r="D16">
        <f>BASEDPS*B16/(1+STATCOEF)*(1+STATCOEF*Inputs!$B$22)*Inputs!$C$22</f>
        <v/>
      </c>
      <c r="E16">
        <f>BASEHP*B16/(1+STATCOEF)*(1+STATCOEF*Inputs!$B$22)*Inputs!$C$22</f>
        <v/>
      </c>
      <c r="F16">
        <f>BASEDEF*B16*Inputs!$C$22</f>
        <v/>
      </c>
      <c r="G16" s="8">
        <f>F16/(F16+C16)</f>
        <v/>
      </c>
      <c r="H16">
        <f>E16/(1-G16)</f>
        <v/>
      </c>
      <c r="I16">
        <f>SQRT(D16*H16)</f>
        <v/>
      </c>
      <c r="J16">
        <f>D16*PHYSMIX/ATKSPD</f>
        <v/>
      </c>
      <c r="K16">
        <f>D16*(1-PHYSMIX)/CASTRATE</f>
        <v/>
      </c>
      <c r="L16">
        <f>MIN(MSPDBASE*(1+STATCOEF*Inputs!$B$22),MSPDCAP)</f>
        <v/>
      </c>
      <c r="M16">
        <f>SQRT((BASEDPS*B16/(1+STATCOEF)*(1+STATCOEF*Inputs!$B$23)*Inputs!$C$23)*(BASEHP*B16/(1+STATCOEF)*(1+STATCOEF*Inputs!$B$23)*Inputs!$C$23)/(1-(BASEDEF*B16*Inputs!$C$23)/((BASEDEF*B16*Inputs!$C$23)+C16)))</f>
        <v/>
      </c>
      <c r="N16">
        <f>SQRT((BASEDPS*B16/(1+STATCOEF)*(1+STATCOEF*Inputs!$B$24)*Inputs!$C$24)*(BASEHP*B16/(1+STATCOEF)*(1+STATCOEF*Inputs!$B$24)*Inputs!$C$24)/(1-(BASEDEF*B16*Inputs!$C$24)/((BASEDEF*B16*Inputs!$C$24)+C16)))</f>
        <v/>
      </c>
      <c r="O16" s="9">
        <f>1-SQRT((BASEDPS*B16/(1+STATCOEF))*(BASEHP*B16/(1+STATCOEF))/(1-F16/(F16+C16)))/I16</f>
        <v/>
      </c>
    </row>
    <row r="17">
      <c r="A17" t="n">
        <v>16</v>
      </c>
      <c r="B17">
        <f>GROWTH^(A17-1)</f>
        <v/>
      </c>
      <c r="C17">
        <f>KANCHOR*B17</f>
        <v/>
      </c>
      <c r="D17">
        <f>BASEDPS*B17/(1+STATCOEF)*(1+STATCOEF*Inputs!$B$22)*Inputs!$C$22</f>
        <v/>
      </c>
      <c r="E17">
        <f>BASEHP*B17/(1+STATCOEF)*(1+STATCOEF*Inputs!$B$22)*Inputs!$C$22</f>
        <v/>
      </c>
      <c r="F17">
        <f>BASEDEF*B17*Inputs!$C$22</f>
        <v/>
      </c>
      <c r="G17" s="8">
        <f>F17/(F17+C17)</f>
        <v/>
      </c>
      <c r="H17">
        <f>E17/(1-G17)</f>
        <v/>
      </c>
      <c r="I17">
        <f>SQRT(D17*H17)</f>
        <v/>
      </c>
      <c r="J17">
        <f>D17*PHYSMIX/ATKSPD</f>
        <v/>
      </c>
      <c r="K17">
        <f>D17*(1-PHYSMIX)/CASTRATE</f>
        <v/>
      </c>
      <c r="L17">
        <f>MIN(MSPDBASE*(1+STATCOEF*Inputs!$B$22),MSPDCAP)</f>
        <v/>
      </c>
      <c r="M17">
        <f>SQRT((BASEDPS*B17/(1+STATCOEF)*(1+STATCOEF*Inputs!$B$23)*Inputs!$C$23)*(BASEHP*B17/(1+STATCOEF)*(1+STATCOEF*Inputs!$B$23)*Inputs!$C$23)/(1-(BASEDEF*B17*Inputs!$C$23)/((BASEDEF*B17*Inputs!$C$23)+C17)))</f>
        <v/>
      </c>
      <c r="N17">
        <f>SQRT((BASEDPS*B17/(1+STATCOEF)*(1+STATCOEF*Inputs!$B$24)*Inputs!$C$24)*(BASEHP*B17/(1+STATCOEF)*(1+STATCOEF*Inputs!$B$24)*Inputs!$C$24)/(1-(BASEDEF*B17*Inputs!$C$24)/((BASEDEF*B17*Inputs!$C$24)+C17)))</f>
        <v/>
      </c>
      <c r="O17" s="9">
        <f>1-SQRT((BASEDPS*B17/(1+STATCOEF))*(BASEHP*B17/(1+STATCOEF))/(1-F17/(F17+C17)))/I17</f>
        <v/>
      </c>
    </row>
    <row r="18">
      <c r="A18" t="n">
        <v>17</v>
      </c>
      <c r="B18">
        <f>GROWTH^(A18-1)</f>
        <v/>
      </c>
      <c r="C18">
        <f>KANCHOR*B18</f>
        <v/>
      </c>
      <c r="D18">
        <f>BASEDPS*B18/(1+STATCOEF)*(1+STATCOEF*Inputs!$B$22)*Inputs!$C$22</f>
        <v/>
      </c>
      <c r="E18">
        <f>BASEHP*B18/(1+STATCOEF)*(1+STATCOEF*Inputs!$B$22)*Inputs!$C$22</f>
        <v/>
      </c>
      <c r="F18">
        <f>BASEDEF*B18*Inputs!$C$22</f>
        <v/>
      </c>
      <c r="G18" s="8">
        <f>F18/(F18+C18)</f>
        <v/>
      </c>
      <c r="H18">
        <f>E18/(1-G18)</f>
        <v/>
      </c>
      <c r="I18">
        <f>SQRT(D18*H18)</f>
        <v/>
      </c>
      <c r="J18">
        <f>D18*PHYSMIX/ATKSPD</f>
        <v/>
      </c>
      <c r="K18">
        <f>D18*(1-PHYSMIX)/CASTRATE</f>
        <v/>
      </c>
      <c r="L18">
        <f>MIN(MSPDBASE*(1+STATCOEF*Inputs!$B$22),MSPDCAP)</f>
        <v/>
      </c>
      <c r="M18">
        <f>SQRT((BASEDPS*B18/(1+STATCOEF)*(1+STATCOEF*Inputs!$B$23)*Inputs!$C$23)*(BASEHP*B18/(1+STATCOEF)*(1+STATCOEF*Inputs!$B$23)*Inputs!$C$23)/(1-(BASEDEF*B18*Inputs!$C$23)/((BASEDEF*B18*Inputs!$C$23)+C18)))</f>
        <v/>
      </c>
      <c r="N18">
        <f>SQRT((BASEDPS*B18/(1+STATCOEF)*(1+STATCOEF*Inputs!$B$24)*Inputs!$C$24)*(BASEHP*B18/(1+STATCOEF)*(1+STATCOEF*Inputs!$B$24)*Inputs!$C$24)/(1-(BASEDEF*B18*Inputs!$C$24)/((BASEDEF*B18*Inputs!$C$24)+C18)))</f>
        <v/>
      </c>
      <c r="O18" s="9">
        <f>1-SQRT((BASEDPS*B18/(1+STATCOEF))*(BASEHP*B18/(1+STATCOEF))/(1-F18/(F18+C18)))/I18</f>
        <v/>
      </c>
    </row>
    <row r="19">
      <c r="A19" t="n">
        <v>18</v>
      </c>
      <c r="B19">
        <f>GROWTH^(A19-1)</f>
        <v/>
      </c>
      <c r="C19">
        <f>KANCHOR*B19</f>
        <v/>
      </c>
      <c r="D19">
        <f>BASEDPS*B19/(1+STATCOEF)*(1+STATCOEF*Inputs!$B$22)*Inputs!$C$22</f>
        <v/>
      </c>
      <c r="E19">
        <f>BASEHP*B19/(1+STATCOEF)*(1+STATCOEF*Inputs!$B$22)*Inputs!$C$22</f>
        <v/>
      </c>
      <c r="F19">
        <f>BASEDEF*B19*Inputs!$C$22</f>
        <v/>
      </c>
      <c r="G19" s="8">
        <f>F19/(F19+C19)</f>
        <v/>
      </c>
      <c r="H19">
        <f>E19/(1-G19)</f>
        <v/>
      </c>
      <c r="I19">
        <f>SQRT(D19*H19)</f>
        <v/>
      </c>
      <c r="J19">
        <f>D19*PHYSMIX/ATKSPD</f>
        <v/>
      </c>
      <c r="K19">
        <f>D19*(1-PHYSMIX)/CASTRATE</f>
        <v/>
      </c>
      <c r="L19">
        <f>MIN(MSPDBASE*(1+STATCOEF*Inputs!$B$22),MSPDCAP)</f>
        <v/>
      </c>
      <c r="M19">
        <f>SQRT((BASEDPS*B19/(1+STATCOEF)*(1+STATCOEF*Inputs!$B$23)*Inputs!$C$23)*(BASEHP*B19/(1+STATCOEF)*(1+STATCOEF*Inputs!$B$23)*Inputs!$C$23)/(1-(BASEDEF*B19*Inputs!$C$23)/((BASEDEF*B19*Inputs!$C$23)+C19)))</f>
        <v/>
      </c>
      <c r="N19">
        <f>SQRT((BASEDPS*B19/(1+STATCOEF)*(1+STATCOEF*Inputs!$B$24)*Inputs!$C$24)*(BASEHP*B19/(1+STATCOEF)*(1+STATCOEF*Inputs!$B$24)*Inputs!$C$24)/(1-(BASEDEF*B19*Inputs!$C$24)/((BASEDEF*B19*Inputs!$C$24)+C19)))</f>
        <v/>
      </c>
      <c r="O19" s="9">
        <f>1-SQRT((BASEDPS*B19/(1+STATCOEF))*(BASEHP*B19/(1+STATCOEF))/(1-F19/(F19+C19)))/I19</f>
        <v/>
      </c>
    </row>
    <row r="20">
      <c r="A20" t="n">
        <v>19</v>
      </c>
      <c r="B20">
        <f>GROWTH^(A20-1)</f>
        <v/>
      </c>
      <c r="C20">
        <f>KANCHOR*B20</f>
        <v/>
      </c>
      <c r="D20">
        <f>BASEDPS*B20/(1+STATCOEF)*(1+STATCOEF*Inputs!$B$22)*Inputs!$C$22</f>
        <v/>
      </c>
      <c r="E20">
        <f>BASEHP*B20/(1+STATCOEF)*(1+STATCOEF*Inputs!$B$22)*Inputs!$C$22</f>
        <v/>
      </c>
      <c r="F20">
        <f>BASEDEF*B20*Inputs!$C$22</f>
        <v/>
      </c>
      <c r="G20" s="8">
        <f>F20/(F20+C20)</f>
        <v/>
      </c>
      <c r="H20">
        <f>E20/(1-G20)</f>
        <v/>
      </c>
      <c r="I20">
        <f>SQRT(D20*H20)</f>
        <v/>
      </c>
      <c r="J20">
        <f>D20*PHYSMIX/ATKSPD</f>
        <v/>
      </c>
      <c r="K20">
        <f>D20*(1-PHYSMIX)/CASTRATE</f>
        <v/>
      </c>
      <c r="L20">
        <f>MIN(MSPDBASE*(1+STATCOEF*Inputs!$B$22),MSPDCAP)</f>
        <v/>
      </c>
      <c r="M20">
        <f>SQRT((BASEDPS*B20/(1+STATCOEF)*(1+STATCOEF*Inputs!$B$23)*Inputs!$C$23)*(BASEHP*B20/(1+STATCOEF)*(1+STATCOEF*Inputs!$B$23)*Inputs!$C$23)/(1-(BASEDEF*B20*Inputs!$C$23)/((BASEDEF*B20*Inputs!$C$23)+C20)))</f>
        <v/>
      </c>
      <c r="N20">
        <f>SQRT((BASEDPS*B20/(1+STATCOEF)*(1+STATCOEF*Inputs!$B$24)*Inputs!$C$24)*(BASEHP*B20/(1+STATCOEF)*(1+STATCOEF*Inputs!$B$24)*Inputs!$C$24)/(1-(BASEDEF*B20*Inputs!$C$24)/((BASEDEF*B20*Inputs!$C$24)+C20)))</f>
        <v/>
      </c>
      <c r="O20" s="9">
        <f>1-SQRT((BASEDPS*B20/(1+STATCOEF))*(BASEHP*B20/(1+STATCOEF))/(1-F20/(F20+C20)))/I20</f>
        <v/>
      </c>
    </row>
    <row r="21">
      <c r="A21" t="n">
        <v>20</v>
      </c>
      <c r="B21">
        <f>GROWTH^(A21-1)</f>
        <v/>
      </c>
      <c r="C21">
        <f>KANCHOR*B21</f>
        <v/>
      </c>
      <c r="D21">
        <f>BASEDPS*B21/(1+STATCOEF)*(1+STATCOEF*Inputs!$B$22)*Inputs!$C$22</f>
        <v/>
      </c>
      <c r="E21">
        <f>BASEHP*B21/(1+STATCOEF)*(1+STATCOEF*Inputs!$B$22)*Inputs!$C$22</f>
        <v/>
      </c>
      <c r="F21">
        <f>BASEDEF*B21*Inputs!$C$22</f>
        <v/>
      </c>
      <c r="G21" s="8">
        <f>F21/(F21+C21)</f>
        <v/>
      </c>
      <c r="H21">
        <f>E21/(1-G21)</f>
        <v/>
      </c>
      <c r="I21">
        <f>SQRT(D21*H21)</f>
        <v/>
      </c>
      <c r="J21">
        <f>D21*PHYSMIX/ATKSPD</f>
        <v/>
      </c>
      <c r="K21">
        <f>D21*(1-PHYSMIX)/CASTRATE</f>
        <v/>
      </c>
      <c r="L21">
        <f>MIN(MSPDBASE*(1+STATCOEF*Inputs!$B$22),MSPDCAP)</f>
        <v/>
      </c>
      <c r="M21">
        <f>SQRT((BASEDPS*B21/(1+STATCOEF)*(1+STATCOEF*Inputs!$B$23)*Inputs!$C$23)*(BASEHP*B21/(1+STATCOEF)*(1+STATCOEF*Inputs!$B$23)*Inputs!$C$23)/(1-(BASEDEF*B21*Inputs!$C$23)/((BASEDEF*B21*Inputs!$C$23)+C21)))</f>
        <v/>
      </c>
      <c r="N21">
        <f>SQRT((BASEDPS*B21/(1+STATCOEF)*(1+STATCOEF*Inputs!$B$24)*Inputs!$C$24)*(BASEHP*B21/(1+STATCOEF)*(1+STATCOEF*Inputs!$B$24)*Inputs!$C$24)/(1-(BASEDEF*B21*Inputs!$C$24)/((BASEDEF*B21*Inputs!$C$24)+C21)))</f>
        <v/>
      </c>
      <c r="O21" s="9">
        <f>1-SQRT((BASEDPS*B21/(1+STATCOEF))*(BASEHP*B21/(1+STATCOEF))/(1-F21/(F21+C21)))/I21</f>
        <v/>
      </c>
    </row>
    <row r="22">
      <c r="A22" t="n">
        <v>21</v>
      </c>
      <c r="B22">
        <f>GROWTH^(A22-1)</f>
        <v/>
      </c>
      <c r="C22">
        <f>KANCHOR*B22</f>
        <v/>
      </c>
      <c r="D22">
        <f>BASEDPS*B22/(1+STATCOEF)*(1+STATCOEF*Inputs!$B$22)*Inputs!$C$22</f>
        <v/>
      </c>
      <c r="E22">
        <f>BASEHP*B22/(1+STATCOEF)*(1+STATCOEF*Inputs!$B$22)*Inputs!$C$22</f>
        <v/>
      </c>
      <c r="F22">
        <f>BASEDEF*B22*Inputs!$C$22</f>
        <v/>
      </c>
      <c r="G22" s="8">
        <f>F22/(F22+C22)</f>
        <v/>
      </c>
      <c r="H22">
        <f>E22/(1-G22)</f>
        <v/>
      </c>
      <c r="I22">
        <f>SQRT(D22*H22)</f>
        <v/>
      </c>
      <c r="J22">
        <f>D22*PHYSMIX/ATKSPD</f>
        <v/>
      </c>
      <c r="K22">
        <f>D22*(1-PHYSMIX)/CASTRATE</f>
        <v/>
      </c>
      <c r="L22">
        <f>MIN(MSPDBASE*(1+STATCOEF*Inputs!$B$22),MSPDCAP)</f>
        <v/>
      </c>
      <c r="M22">
        <f>SQRT((BASEDPS*B22/(1+STATCOEF)*(1+STATCOEF*Inputs!$B$23)*Inputs!$C$23)*(BASEHP*B22/(1+STATCOEF)*(1+STATCOEF*Inputs!$B$23)*Inputs!$C$23)/(1-(BASEDEF*B22*Inputs!$C$23)/((BASEDEF*B22*Inputs!$C$23)+C22)))</f>
        <v/>
      </c>
      <c r="N22">
        <f>SQRT((BASEDPS*B22/(1+STATCOEF)*(1+STATCOEF*Inputs!$B$24)*Inputs!$C$24)*(BASEHP*B22/(1+STATCOEF)*(1+STATCOEF*Inputs!$B$24)*Inputs!$C$24)/(1-(BASEDEF*B22*Inputs!$C$24)/((BASEDEF*B22*Inputs!$C$24)+C22)))</f>
        <v/>
      </c>
      <c r="O22" s="9">
        <f>1-SQRT((BASEDPS*B22/(1+STATCOEF))*(BASEHP*B22/(1+STATCOEF))/(1-F22/(F22+C22)))/I22</f>
        <v/>
      </c>
    </row>
    <row r="23">
      <c r="A23" t="n">
        <v>22</v>
      </c>
      <c r="B23">
        <f>GROWTH^(A23-1)</f>
        <v/>
      </c>
      <c r="C23">
        <f>KANCHOR*B23</f>
        <v/>
      </c>
      <c r="D23">
        <f>BASEDPS*B23/(1+STATCOEF)*(1+STATCOEF*Inputs!$B$22)*Inputs!$C$22</f>
        <v/>
      </c>
      <c r="E23">
        <f>BASEHP*B23/(1+STATCOEF)*(1+STATCOEF*Inputs!$B$22)*Inputs!$C$22</f>
        <v/>
      </c>
      <c r="F23">
        <f>BASEDEF*B23*Inputs!$C$22</f>
        <v/>
      </c>
      <c r="G23" s="8">
        <f>F23/(F23+C23)</f>
        <v/>
      </c>
      <c r="H23">
        <f>E23/(1-G23)</f>
        <v/>
      </c>
      <c r="I23">
        <f>SQRT(D23*H23)</f>
        <v/>
      </c>
      <c r="J23">
        <f>D23*PHYSMIX/ATKSPD</f>
        <v/>
      </c>
      <c r="K23">
        <f>D23*(1-PHYSMIX)/CASTRATE</f>
        <v/>
      </c>
      <c r="L23">
        <f>MIN(MSPDBASE*(1+STATCOEF*Inputs!$B$22),MSPDCAP)</f>
        <v/>
      </c>
      <c r="M23">
        <f>SQRT((BASEDPS*B23/(1+STATCOEF)*(1+STATCOEF*Inputs!$B$23)*Inputs!$C$23)*(BASEHP*B23/(1+STATCOEF)*(1+STATCOEF*Inputs!$B$23)*Inputs!$C$23)/(1-(BASEDEF*B23*Inputs!$C$23)/((BASEDEF*B23*Inputs!$C$23)+C23)))</f>
        <v/>
      </c>
      <c r="N23">
        <f>SQRT((BASEDPS*B23/(1+STATCOEF)*(1+STATCOEF*Inputs!$B$24)*Inputs!$C$24)*(BASEHP*B23/(1+STATCOEF)*(1+STATCOEF*Inputs!$B$24)*Inputs!$C$24)/(1-(BASEDEF*B23*Inputs!$C$24)/((BASEDEF*B23*Inputs!$C$24)+C23)))</f>
        <v/>
      </c>
      <c r="O23" s="9">
        <f>1-SQRT((BASEDPS*B23/(1+STATCOEF))*(BASEHP*B23/(1+STATCOEF))/(1-F23/(F23+C23)))/I23</f>
        <v/>
      </c>
    </row>
    <row r="24">
      <c r="A24" t="n">
        <v>23</v>
      </c>
      <c r="B24">
        <f>GROWTH^(A24-1)</f>
        <v/>
      </c>
      <c r="C24">
        <f>KANCHOR*B24</f>
        <v/>
      </c>
      <c r="D24">
        <f>BASEDPS*B24/(1+STATCOEF)*(1+STATCOEF*Inputs!$B$22)*Inputs!$C$22</f>
        <v/>
      </c>
      <c r="E24">
        <f>BASEHP*B24/(1+STATCOEF)*(1+STATCOEF*Inputs!$B$22)*Inputs!$C$22</f>
        <v/>
      </c>
      <c r="F24">
        <f>BASEDEF*B24*Inputs!$C$22</f>
        <v/>
      </c>
      <c r="G24" s="8">
        <f>F24/(F24+C24)</f>
        <v/>
      </c>
      <c r="H24">
        <f>E24/(1-G24)</f>
        <v/>
      </c>
      <c r="I24">
        <f>SQRT(D24*H24)</f>
        <v/>
      </c>
      <c r="J24">
        <f>D24*PHYSMIX/ATKSPD</f>
        <v/>
      </c>
      <c r="K24">
        <f>D24*(1-PHYSMIX)/CASTRATE</f>
        <v/>
      </c>
      <c r="L24">
        <f>MIN(MSPDBASE*(1+STATCOEF*Inputs!$B$22),MSPDCAP)</f>
        <v/>
      </c>
      <c r="M24">
        <f>SQRT((BASEDPS*B24/(1+STATCOEF)*(1+STATCOEF*Inputs!$B$23)*Inputs!$C$23)*(BASEHP*B24/(1+STATCOEF)*(1+STATCOEF*Inputs!$B$23)*Inputs!$C$23)/(1-(BASEDEF*B24*Inputs!$C$23)/((BASEDEF*B24*Inputs!$C$23)+C24)))</f>
        <v/>
      </c>
      <c r="N24">
        <f>SQRT((BASEDPS*B24/(1+STATCOEF)*(1+STATCOEF*Inputs!$B$24)*Inputs!$C$24)*(BASEHP*B24/(1+STATCOEF)*(1+STATCOEF*Inputs!$B$24)*Inputs!$C$24)/(1-(BASEDEF*B24*Inputs!$C$24)/((BASEDEF*B24*Inputs!$C$24)+C24)))</f>
        <v/>
      </c>
      <c r="O24" s="9">
        <f>1-SQRT((BASEDPS*B24/(1+STATCOEF))*(BASEHP*B24/(1+STATCOEF))/(1-F24/(F24+C24)))/I24</f>
        <v/>
      </c>
    </row>
    <row r="25">
      <c r="A25" t="n">
        <v>24</v>
      </c>
      <c r="B25">
        <f>GROWTH^(A25-1)</f>
        <v/>
      </c>
      <c r="C25">
        <f>KANCHOR*B25</f>
        <v/>
      </c>
      <c r="D25">
        <f>BASEDPS*B25/(1+STATCOEF)*(1+STATCOEF*Inputs!$B$22)*Inputs!$C$22</f>
        <v/>
      </c>
      <c r="E25">
        <f>BASEHP*B25/(1+STATCOEF)*(1+STATCOEF*Inputs!$B$22)*Inputs!$C$22</f>
        <v/>
      </c>
      <c r="F25">
        <f>BASEDEF*B25*Inputs!$C$22</f>
        <v/>
      </c>
      <c r="G25" s="8">
        <f>F25/(F25+C25)</f>
        <v/>
      </c>
      <c r="H25">
        <f>E25/(1-G25)</f>
        <v/>
      </c>
      <c r="I25">
        <f>SQRT(D25*H25)</f>
        <v/>
      </c>
      <c r="J25">
        <f>D25*PHYSMIX/ATKSPD</f>
        <v/>
      </c>
      <c r="K25">
        <f>D25*(1-PHYSMIX)/CASTRATE</f>
        <v/>
      </c>
      <c r="L25">
        <f>MIN(MSPDBASE*(1+STATCOEF*Inputs!$B$22),MSPDCAP)</f>
        <v/>
      </c>
      <c r="M25">
        <f>SQRT((BASEDPS*B25/(1+STATCOEF)*(1+STATCOEF*Inputs!$B$23)*Inputs!$C$23)*(BASEHP*B25/(1+STATCOEF)*(1+STATCOEF*Inputs!$B$23)*Inputs!$C$23)/(1-(BASEDEF*B25*Inputs!$C$23)/((BASEDEF*B25*Inputs!$C$23)+C25)))</f>
        <v/>
      </c>
      <c r="N25">
        <f>SQRT((BASEDPS*B25/(1+STATCOEF)*(1+STATCOEF*Inputs!$B$24)*Inputs!$C$24)*(BASEHP*B25/(1+STATCOEF)*(1+STATCOEF*Inputs!$B$24)*Inputs!$C$24)/(1-(BASEDEF*B25*Inputs!$C$24)/((BASEDEF*B25*Inputs!$C$24)+C25)))</f>
        <v/>
      </c>
      <c r="O25" s="9">
        <f>1-SQRT((BASEDPS*B25/(1+STATCOEF))*(BASEHP*B25/(1+STATCOEF))/(1-F25/(F25+C25)))/I25</f>
        <v/>
      </c>
    </row>
    <row r="26">
      <c r="A26" t="n">
        <v>25</v>
      </c>
      <c r="B26">
        <f>GROWTH^(A26-1)</f>
        <v/>
      </c>
      <c r="C26">
        <f>KANCHOR*B26</f>
        <v/>
      </c>
      <c r="D26">
        <f>BASEDPS*B26/(1+STATCOEF)*(1+STATCOEF*Inputs!$B$22)*Inputs!$C$22</f>
        <v/>
      </c>
      <c r="E26">
        <f>BASEHP*B26/(1+STATCOEF)*(1+STATCOEF*Inputs!$B$22)*Inputs!$C$22</f>
        <v/>
      </c>
      <c r="F26">
        <f>BASEDEF*B26*Inputs!$C$22</f>
        <v/>
      </c>
      <c r="G26" s="8">
        <f>F26/(F26+C26)</f>
        <v/>
      </c>
      <c r="H26">
        <f>E26/(1-G26)</f>
        <v/>
      </c>
      <c r="I26">
        <f>SQRT(D26*H26)</f>
        <v/>
      </c>
      <c r="J26">
        <f>D26*PHYSMIX/ATKSPD</f>
        <v/>
      </c>
      <c r="K26">
        <f>D26*(1-PHYSMIX)/CASTRATE</f>
        <v/>
      </c>
      <c r="L26">
        <f>MIN(MSPDBASE*(1+STATCOEF*Inputs!$B$22),MSPDCAP)</f>
        <v/>
      </c>
      <c r="M26">
        <f>SQRT((BASEDPS*B26/(1+STATCOEF)*(1+STATCOEF*Inputs!$B$23)*Inputs!$C$23)*(BASEHP*B26/(1+STATCOEF)*(1+STATCOEF*Inputs!$B$23)*Inputs!$C$23)/(1-(BASEDEF*B26*Inputs!$C$23)/((BASEDEF*B26*Inputs!$C$23)+C26)))</f>
        <v/>
      </c>
      <c r="N26">
        <f>SQRT((BASEDPS*B26/(1+STATCOEF)*(1+STATCOEF*Inputs!$B$24)*Inputs!$C$24)*(BASEHP*B26/(1+STATCOEF)*(1+STATCOEF*Inputs!$B$24)*Inputs!$C$24)/(1-(BASEDEF*B26*Inputs!$C$24)/((BASEDEF*B26*Inputs!$C$24)+C26)))</f>
        <v/>
      </c>
      <c r="O26" s="9">
        <f>1-SQRT((BASEDPS*B26/(1+STATCOEF))*(BASEHP*B26/(1+STATCOEF))/(1-F26/(F26+C26)))/I26</f>
        <v/>
      </c>
    </row>
    <row r="27">
      <c r="A27" t="n">
        <v>26</v>
      </c>
      <c r="B27">
        <f>GROWTH^(A27-1)</f>
        <v/>
      </c>
      <c r="C27">
        <f>KANCHOR*B27</f>
        <v/>
      </c>
      <c r="D27">
        <f>BASEDPS*B27/(1+STATCOEF)*(1+STATCOEF*Inputs!$B$22)*Inputs!$C$22</f>
        <v/>
      </c>
      <c r="E27">
        <f>BASEHP*B27/(1+STATCOEF)*(1+STATCOEF*Inputs!$B$22)*Inputs!$C$22</f>
        <v/>
      </c>
      <c r="F27">
        <f>BASEDEF*B27*Inputs!$C$22</f>
        <v/>
      </c>
      <c r="G27" s="8">
        <f>F27/(F27+C27)</f>
        <v/>
      </c>
      <c r="H27">
        <f>E27/(1-G27)</f>
        <v/>
      </c>
      <c r="I27">
        <f>SQRT(D27*H27)</f>
        <v/>
      </c>
      <c r="J27">
        <f>D27*PHYSMIX/ATKSPD</f>
        <v/>
      </c>
      <c r="K27">
        <f>D27*(1-PHYSMIX)/CASTRATE</f>
        <v/>
      </c>
      <c r="L27">
        <f>MIN(MSPDBASE*(1+STATCOEF*Inputs!$B$22),MSPDCAP)</f>
        <v/>
      </c>
      <c r="M27">
        <f>SQRT((BASEDPS*B27/(1+STATCOEF)*(1+STATCOEF*Inputs!$B$23)*Inputs!$C$23)*(BASEHP*B27/(1+STATCOEF)*(1+STATCOEF*Inputs!$B$23)*Inputs!$C$23)/(1-(BASEDEF*B27*Inputs!$C$23)/((BASEDEF*B27*Inputs!$C$23)+C27)))</f>
        <v/>
      </c>
      <c r="N27">
        <f>SQRT((BASEDPS*B27/(1+STATCOEF)*(1+STATCOEF*Inputs!$B$24)*Inputs!$C$24)*(BASEHP*B27/(1+STATCOEF)*(1+STATCOEF*Inputs!$B$24)*Inputs!$C$24)/(1-(BASEDEF*B27*Inputs!$C$24)/((BASEDEF*B27*Inputs!$C$24)+C27)))</f>
        <v/>
      </c>
      <c r="O27" s="9">
        <f>1-SQRT((BASEDPS*B27/(1+STATCOEF))*(BASEHP*B27/(1+STATCOEF))/(1-F27/(F27+C27)))/I27</f>
        <v/>
      </c>
    </row>
    <row r="28">
      <c r="A28" t="n">
        <v>27</v>
      </c>
      <c r="B28">
        <f>GROWTH^(A28-1)</f>
        <v/>
      </c>
      <c r="C28">
        <f>KANCHOR*B28</f>
        <v/>
      </c>
      <c r="D28">
        <f>BASEDPS*B28/(1+STATCOEF)*(1+STATCOEF*Inputs!$B$22)*Inputs!$C$22</f>
        <v/>
      </c>
      <c r="E28">
        <f>BASEHP*B28/(1+STATCOEF)*(1+STATCOEF*Inputs!$B$22)*Inputs!$C$22</f>
        <v/>
      </c>
      <c r="F28">
        <f>BASEDEF*B28*Inputs!$C$22</f>
        <v/>
      </c>
      <c r="G28" s="8">
        <f>F28/(F28+C28)</f>
        <v/>
      </c>
      <c r="H28">
        <f>E28/(1-G28)</f>
        <v/>
      </c>
      <c r="I28">
        <f>SQRT(D28*H28)</f>
        <v/>
      </c>
      <c r="J28">
        <f>D28*PHYSMIX/ATKSPD</f>
        <v/>
      </c>
      <c r="K28">
        <f>D28*(1-PHYSMIX)/CASTRATE</f>
        <v/>
      </c>
      <c r="L28">
        <f>MIN(MSPDBASE*(1+STATCOEF*Inputs!$B$22),MSPDCAP)</f>
        <v/>
      </c>
      <c r="M28">
        <f>SQRT((BASEDPS*B28/(1+STATCOEF)*(1+STATCOEF*Inputs!$B$23)*Inputs!$C$23)*(BASEHP*B28/(1+STATCOEF)*(1+STATCOEF*Inputs!$B$23)*Inputs!$C$23)/(1-(BASEDEF*B28*Inputs!$C$23)/((BASEDEF*B28*Inputs!$C$23)+C28)))</f>
        <v/>
      </c>
      <c r="N28">
        <f>SQRT((BASEDPS*B28/(1+STATCOEF)*(1+STATCOEF*Inputs!$B$24)*Inputs!$C$24)*(BASEHP*B28/(1+STATCOEF)*(1+STATCOEF*Inputs!$B$24)*Inputs!$C$24)/(1-(BASEDEF*B28*Inputs!$C$24)/((BASEDEF*B28*Inputs!$C$24)+C28)))</f>
        <v/>
      </c>
      <c r="O28" s="9">
        <f>1-SQRT((BASEDPS*B28/(1+STATCOEF))*(BASEHP*B28/(1+STATCOEF))/(1-F28/(F28+C28)))/I28</f>
        <v/>
      </c>
    </row>
    <row r="29">
      <c r="A29" t="n">
        <v>28</v>
      </c>
      <c r="B29">
        <f>GROWTH^(A29-1)</f>
        <v/>
      </c>
      <c r="C29">
        <f>KANCHOR*B29</f>
        <v/>
      </c>
      <c r="D29">
        <f>BASEDPS*B29/(1+STATCOEF)*(1+STATCOEF*Inputs!$B$22)*Inputs!$C$22</f>
        <v/>
      </c>
      <c r="E29">
        <f>BASEHP*B29/(1+STATCOEF)*(1+STATCOEF*Inputs!$B$22)*Inputs!$C$22</f>
        <v/>
      </c>
      <c r="F29">
        <f>BASEDEF*B29*Inputs!$C$22</f>
        <v/>
      </c>
      <c r="G29" s="8">
        <f>F29/(F29+C29)</f>
        <v/>
      </c>
      <c r="H29">
        <f>E29/(1-G29)</f>
        <v/>
      </c>
      <c r="I29">
        <f>SQRT(D29*H29)</f>
        <v/>
      </c>
      <c r="J29">
        <f>D29*PHYSMIX/ATKSPD</f>
        <v/>
      </c>
      <c r="K29">
        <f>D29*(1-PHYSMIX)/CASTRATE</f>
        <v/>
      </c>
      <c r="L29">
        <f>MIN(MSPDBASE*(1+STATCOEF*Inputs!$B$22),MSPDCAP)</f>
        <v/>
      </c>
      <c r="M29">
        <f>SQRT((BASEDPS*B29/(1+STATCOEF)*(1+STATCOEF*Inputs!$B$23)*Inputs!$C$23)*(BASEHP*B29/(1+STATCOEF)*(1+STATCOEF*Inputs!$B$23)*Inputs!$C$23)/(1-(BASEDEF*B29*Inputs!$C$23)/((BASEDEF*B29*Inputs!$C$23)+C29)))</f>
        <v/>
      </c>
      <c r="N29">
        <f>SQRT((BASEDPS*B29/(1+STATCOEF)*(1+STATCOEF*Inputs!$B$24)*Inputs!$C$24)*(BASEHP*B29/(1+STATCOEF)*(1+STATCOEF*Inputs!$B$24)*Inputs!$C$24)/(1-(BASEDEF*B29*Inputs!$C$24)/((BASEDEF*B29*Inputs!$C$24)+C29)))</f>
        <v/>
      </c>
      <c r="O29" s="9">
        <f>1-SQRT((BASEDPS*B29/(1+STATCOEF))*(BASEHP*B29/(1+STATCOEF))/(1-F29/(F29+C29)))/I29</f>
        <v/>
      </c>
    </row>
    <row r="30">
      <c r="A30" t="n">
        <v>29</v>
      </c>
      <c r="B30">
        <f>GROWTH^(A30-1)</f>
        <v/>
      </c>
      <c r="C30">
        <f>KANCHOR*B30</f>
        <v/>
      </c>
      <c r="D30">
        <f>BASEDPS*B30/(1+STATCOEF)*(1+STATCOEF*Inputs!$B$22)*Inputs!$C$22</f>
        <v/>
      </c>
      <c r="E30">
        <f>BASEHP*B30/(1+STATCOEF)*(1+STATCOEF*Inputs!$B$22)*Inputs!$C$22</f>
        <v/>
      </c>
      <c r="F30">
        <f>BASEDEF*B30*Inputs!$C$22</f>
        <v/>
      </c>
      <c r="G30" s="8">
        <f>F30/(F30+C30)</f>
        <v/>
      </c>
      <c r="H30">
        <f>E30/(1-G30)</f>
        <v/>
      </c>
      <c r="I30">
        <f>SQRT(D30*H30)</f>
        <v/>
      </c>
      <c r="J30">
        <f>D30*PHYSMIX/ATKSPD</f>
        <v/>
      </c>
      <c r="K30">
        <f>D30*(1-PHYSMIX)/CASTRATE</f>
        <v/>
      </c>
      <c r="L30">
        <f>MIN(MSPDBASE*(1+STATCOEF*Inputs!$B$22),MSPDCAP)</f>
        <v/>
      </c>
      <c r="M30">
        <f>SQRT((BASEDPS*B30/(1+STATCOEF)*(1+STATCOEF*Inputs!$B$23)*Inputs!$C$23)*(BASEHP*B30/(1+STATCOEF)*(1+STATCOEF*Inputs!$B$23)*Inputs!$C$23)/(1-(BASEDEF*B30*Inputs!$C$23)/((BASEDEF*B30*Inputs!$C$23)+C30)))</f>
        <v/>
      </c>
      <c r="N30">
        <f>SQRT((BASEDPS*B30/(1+STATCOEF)*(1+STATCOEF*Inputs!$B$24)*Inputs!$C$24)*(BASEHP*B30/(1+STATCOEF)*(1+STATCOEF*Inputs!$B$24)*Inputs!$C$24)/(1-(BASEDEF*B30*Inputs!$C$24)/((BASEDEF*B30*Inputs!$C$24)+C30)))</f>
        <v/>
      </c>
      <c r="O30" s="9">
        <f>1-SQRT((BASEDPS*B30/(1+STATCOEF))*(BASEHP*B30/(1+STATCOEF))/(1-F30/(F30+C30)))/I30</f>
        <v/>
      </c>
    </row>
    <row r="31">
      <c r="A31" t="n">
        <v>30</v>
      </c>
      <c r="B31">
        <f>GROWTH^(A31-1)</f>
        <v/>
      </c>
      <c r="C31">
        <f>KANCHOR*B31</f>
        <v/>
      </c>
      <c r="D31">
        <f>BASEDPS*B31/(1+STATCOEF)*(1+STATCOEF*Inputs!$B$22)*Inputs!$C$22</f>
        <v/>
      </c>
      <c r="E31">
        <f>BASEHP*B31/(1+STATCOEF)*(1+STATCOEF*Inputs!$B$22)*Inputs!$C$22</f>
        <v/>
      </c>
      <c r="F31">
        <f>BASEDEF*B31*Inputs!$C$22</f>
        <v/>
      </c>
      <c r="G31" s="8">
        <f>F31/(F31+C31)</f>
        <v/>
      </c>
      <c r="H31">
        <f>E31/(1-G31)</f>
        <v/>
      </c>
      <c r="I31">
        <f>SQRT(D31*H31)</f>
        <v/>
      </c>
      <c r="J31">
        <f>D31*PHYSMIX/ATKSPD</f>
        <v/>
      </c>
      <c r="K31">
        <f>D31*(1-PHYSMIX)/CASTRATE</f>
        <v/>
      </c>
      <c r="L31">
        <f>MIN(MSPDBASE*(1+STATCOEF*Inputs!$B$22),MSPDCAP)</f>
        <v/>
      </c>
      <c r="M31">
        <f>SQRT((BASEDPS*B31/(1+STATCOEF)*(1+STATCOEF*Inputs!$B$23)*Inputs!$C$23)*(BASEHP*B31/(1+STATCOEF)*(1+STATCOEF*Inputs!$B$23)*Inputs!$C$23)/(1-(BASEDEF*B31*Inputs!$C$23)/((BASEDEF*B31*Inputs!$C$23)+C31)))</f>
        <v/>
      </c>
      <c r="N31">
        <f>SQRT((BASEDPS*B31/(1+STATCOEF)*(1+STATCOEF*Inputs!$B$24)*Inputs!$C$24)*(BASEHP*B31/(1+STATCOEF)*(1+STATCOEF*Inputs!$B$24)*Inputs!$C$24)/(1-(BASEDEF*B31*Inputs!$C$24)/((BASEDEF*B31*Inputs!$C$24)+C31)))</f>
        <v/>
      </c>
      <c r="O31" s="9">
        <f>1-SQRT((BASEDPS*B31/(1+STATCOEF))*(BASEHP*B31/(1+STATCOEF))/(1-F31/(F31+C31)))/I31</f>
        <v/>
      </c>
    </row>
    <row r="32">
      <c r="A32" t="n">
        <v>31</v>
      </c>
      <c r="B32">
        <f>GROWTH^(A32-1)</f>
        <v/>
      </c>
      <c r="C32">
        <f>KANCHOR*B32</f>
        <v/>
      </c>
      <c r="D32">
        <f>BASEDPS*B32/(1+STATCOEF)*(1+STATCOEF*Inputs!$B$22)*Inputs!$C$22</f>
        <v/>
      </c>
      <c r="E32">
        <f>BASEHP*B32/(1+STATCOEF)*(1+STATCOEF*Inputs!$B$22)*Inputs!$C$22</f>
        <v/>
      </c>
      <c r="F32">
        <f>BASEDEF*B32*Inputs!$C$22</f>
        <v/>
      </c>
      <c r="G32" s="8">
        <f>F32/(F32+C32)</f>
        <v/>
      </c>
      <c r="H32">
        <f>E32/(1-G32)</f>
        <v/>
      </c>
      <c r="I32">
        <f>SQRT(D32*H32)</f>
        <v/>
      </c>
      <c r="J32">
        <f>D32*PHYSMIX/ATKSPD</f>
        <v/>
      </c>
      <c r="K32">
        <f>D32*(1-PHYSMIX)/CASTRATE</f>
        <v/>
      </c>
      <c r="L32">
        <f>MIN(MSPDBASE*(1+STATCOEF*Inputs!$B$22),MSPDCAP)</f>
        <v/>
      </c>
      <c r="M32">
        <f>SQRT((BASEDPS*B32/(1+STATCOEF)*(1+STATCOEF*Inputs!$B$23)*Inputs!$C$23)*(BASEHP*B32/(1+STATCOEF)*(1+STATCOEF*Inputs!$B$23)*Inputs!$C$23)/(1-(BASEDEF*B32*Inputs!$C$23)/((BASEDEF*B32*Inputs!$C$23)+C32)))</f>
        <v/>
      </c>
      <c r="N32">
        <f>SQRT((BASEDPS*B32/(1+STATCOEF)*(1+STATCOEF*Inputs!$B$24)*Inputs!$C$24)*(BASEHP*B32/(1+STATCOEF)*(1+STATCOEF*Inputs!$B$24)*Inputs!$C$24)/(1-(BASEDEF*B32*Inputs!$C$24)/((BASEDEF*B32*Inputs!$C$24)+C32)))</f>
        <v/>
      </c>
      <c r="O32" s="9">
        <f>1-SQRT((BASEDPS*B32/(1+STATCOEF))*(BASEHP*B32/(1+STATCOEF))/(1-F32/(F32+C32)))/I32</f>
        <v/>
      </c>
    </row>
    <row r="33">
      <c r="A33" t="n">
        <v>32</v>
      </c>
      <c r="B33">
        <f>GROWTH^(A33-1)</f>
        <v/>
      </c>
      <c r="C33">
        <f>KANCHOR*B33</f>
        <v/>
      </c>
      <c r="D33">
        <f>BASEDPS*B33/(1+STATCOEF)*(1+STATCOEF*Inputs!$B$22)*Inputs!$C$22</f>
        <v/>
      </c>
      <c r="E33">
        <f>BASEHP*B33/(1+STATCOEF)*(1+STATCOEF*Inputs!$B$22)*Inputs!$C$22</f>
        <v/>
      </c>
      <c r="F33">
        <f>BASEDEF*B33*Inputs!$C$22</f>
        <v/>
      </c>
      <c r="G33" s="8">
        <f>F33/(F33+C33)</f>
        <v/>
      </c>
      <c r="H33">
        <f>E33/(1-G33)</f>
        <v/>
      </c>
      <c r="I33">
        <f>SQRT(D33*H33)</f>
        <v/>
      </c>
      <c r="J33">
        <f>D33*PHYSMIX/ATKSPD</f>
        <v/>
      </c>
      <c r="K33">
        <f>D33*(1-PHYSMIX)/CASTRATE</f>
        <v/>
      </c>
      <c r="L33">
        <f>MIN(MSPDBASE*(1+STATCOEF*Inputs!$B$22),MSPDCAP)</f>
        <v/>
      </c>
      <c r="M33">
        <f>SQRT((BASEDPS*B33/(1+STATCOEF)*(1+STATCOEF*Inputs!$B$23)*Inputs!$C$23)*(BASEHP*B33/(1+STATCOEF)*(1+STATCOEF*Inputs!$B$23)*Inputs!$C$23)/(1-(BASEDEF*B33*Inputs!$C$23)/((BASEDEF*B33*Inputs!$C$23)+C33)))</f>
        <v/>
      </c>
      <c r="N33">
        <f>SQRT((BASEDPS*B33/(1+STATCOEF)*(1+STATCOEF*Inputs!$B$24)*Inputs!$C$24)*(BASEHP*B33/(1+STATCOEF)*(1+STATCOEF*Inputs!$B$24)*Inputs!$C$24)/(1-(BASEDEF*B33*Inputs!$C$24)/((BASEDEF*B33*Inputs!$C$24)+C33)))</f>
        <v/>
      </c>
      <c r="O33" s="9">
        <f>1-SQRT((BASEDPS*B33/(1+STATCOEF))*(BASEHP*B33/(1+STATCOEF))/(1-F33/(F33+C33)))/I33</f>
        <v/>
      </c>
    </row>
    <row r="34">
      <c r="A34" t="n">
        <v>33</v>
      </c>
      <c r="B34">
        <f>GROWTH^(A34-1)</f>
        <v/>
      </c>
      <c r="C34">
        <f>KANCHOR*B34</f>
        <v/>
      </c>
      <c r="D34">
        <f>BASEDPS*B34/(1+STATCOEF)*(1+STATCOEF*Inputs!$B$22)*Inputs!$C$22</f>
        <v/>
      </c>
      <c r="E34">
        <f>BASEHP*B34/(1+STATCOEF)*(1+STATCOEF*Inputs!$B$22)*Inputs!$C$22</f>
        <v/>
      </c>
      <c r="F34">
        <f>BASEDEF*B34*Inputs!$C$22</f>
        <v/>
      </c>
      <c r="G34" s="8">
        <f>F34/(F34+C34)</f>
        <v/>
      </c>
      <c r="H34">
        <f>E34/(1-G34)</f>
        <v/>
      </c>
      <c r="I34">
        <f>SQRT(D34*H34)</f>
        <v/>
      </c>
      <c r="J34">
        <f>D34*PHYSMIX/ATKSPD</f>
        <v/>
      </c>
      <c r="K34">
        <f>D34*(1-PHYSMIX)/CASTRATE</f>
        <v/>
      </c>
      <c r="L34">
        <f>MIN(MSPDBASE*(1+STATCOEF*Inputs!$B$22),MSPDCAP)</f>
        <v/>
      </c>
      <c r="M34">
        <f>SQRT((BASEDPS*B34/(1+STATCOEF)*(1+STATCOEF*Inputs!$B$23)*Inputs!$C$23)*(BASEHP*B34/(1+STATCOEF)*(1+STATCOEF*Inputs!$B$23)*Inputs!$C$23)/(1-(BASEDEF*B34*Inputs!$C$23)/((BASEDEF*B34*Inputs!$C$23)+C34)))</f>
        <v/>
      </c>
      <c r="N34">
        <f>SQRT((BASEDPS*B34/(1+STATCOEF)*(1+STATCOEF*Inputs!$B$24)*Inputs!$C$24)*(BASEHP*B34/(1+STATCOEF)*(1+STATCOEF*Inputs!$B$24)*Inputs!$C$24)/(1-(BASEDEF*B34*Inputs!$C$24)/((BASEDEF*B34*Inputs!$C$24)+C34)))</f>
        <v/>
      </c>
      <c r="O34" s="9">
        <f>1-SQRT((BASEDPS*B34/(1+STATCOEF))*(BASEHP*B34/(1+STATCOEF))/(1-F34/(F34+C34)))/I34</f>
        <v/>
      </c>
    </row>
    <row r="35">
      <c r="A35" t="n">
        <v>34</v>
      </c>
      <c r="B35">
        <f>GROWTH^(A35-1)</f>
        <v/>
      </c>
      <c r="C35">
        <f>KANCHOR*B35</f>
        <v/>
      </c>
      <c r="D35">
        <f>BASEDPS*B35/(1+STATCOEF)*(1+STATCOEF*Inputs!$B$22)*Inputs!$C$22</f>
        <v/>
      </c>
      <c r="E35">
        <f>BASEHP*B35/(1+STATCOEF)*(1+STATCOEF*Inputs!$B$22)*Inputs!$C$22</f>
        <v/>
      </c>
      <c r="F35">
        <f>BASEDEF*B35*Inputs!$C$22</f>
        <v/>
      </c>
      <c r="G35" s="8">
        <f>F35/(F35+C35)</f>
        <v/>
      </c>
      <c r="H35">
        <f>E35/(1-G35)</f>
        <v/>
      </c>
      <c r="I35">
        <f>SQRT(D35*H35)</f>
        <v/>
      </c>
      <c r="J35">
        <f>D35*PHYSMIX/ATKSPD</f>
        <v/>
      </c>
      <c r="K35">
        <f>D35*(1-PHYSMIX)/CASTRATE</f>
        <v/>
      </c>
      <c r="L35">
        <f>MIN(MSPDBASE*(1+STATCOEF*Inputs!$B$22),MSPDCAP)</f>
        <v/>
      </c>
      <c r="M35">
        <f>SQRT((BASEDPS*B35/(1+STATCOEF)*(1+STATCOEF*Inputs!$B$23)*Inputs!$C$23)*(BASEHP*B35/(1+STATCOEF)*(1+STATCOEF*Inputs!$B$23)*Inputs!$C$23)/(1-(BASEDEF*B35*Inputs!$C$23)/((BASEDEF*B35*Inputs!$C$23)+C35)))</f>
        <v/>
      </c>
      <c r="N35">
        <f>SQRT((BASEDPS*B35/(1+STATCOEF)*(1+STATCOEF*Inputs!$B$24)*Inputs!$C$24)*(BASEHP*B35/(1+STATCOEF)*(1+STATCOEF*Inputs!$B$24)*Inputs!$C$24)/(1-(BASEDEF*B35*Inputs!$C$24)/((BASEDEF*B35*Inputs!$C$24)+C35)))</f>
        <v/>
      </c>
      <c r="O35" s="9">
        <f>1-SQRT((BASEDPS*B35/(1+STATCOEF))*(BASEHP*B35/(1+STATCOEF))/(1-F35/(F35+C35)))/I35</f>
        <v/>
      </c>
    </row>
    <row r="36">
      <c r="A36" t="n">
        <v>35</v>
      </c>
      <c r="B36">
        <f>GROWTH^(A36-1)</f>
        <v/>
      </c>
      <c r="C36">
        <f>KANCHOR*B36</f>
        <v/>
      </c>
      <c r="D36">
        <f>BASEDPS*B36/(1+STATCOEF)*(1+STATCOEF*Inputs!$B$22)*Inputs!$C$22</f>
        <v/>
      </c>
      <c r="E36">
        <f>BASEHP*B36/(1+STATCOEF)*(1+STATCOEF*Inputs!$B$22)*Inputs!$C$22</f>
        <v/>
      </c>
      <c r="F36">
        <f>BASEDEF*B36*Inputs!$C$22</f>
        <v/>
      </c>
      <c r="G36" s="8">
        <f>F36/(F36+C36)</f>
        <v/>
      </c>
      <c r="H36">
        <f>E36/(1-G36)</f>
        <v/>
      </c>
      <c r="I36">
        <f>SQRT(D36*H36)</f>
        <v/>
      </c>
      <c r="J36">
        <f>D36*PHYSMIX/ATKSPD</f>
        <v/>
      </c>
      <c r="K36">
        <f>D36*(1-PHYSMIX)/CASTRATE</f>
        <v/>
      </c>
      <c r="L36">
        <f>MIN(MSPDBASE*(1+STATCOEF*Inputs!$B$22),MSPDCAP)</f>
        <v/>
      </c>
      <c r="M36">
        <f>SQRT((BASEDPS*B36/(1+STATCOEF)*(1+STATCOEF*Inputs!$B$23)*Inputs!$C$23)*(BASEHP*B36/(1+STATCOEF)*(1+STATCOEF*Inputs!$B$23)*Inputs!$C$23)/(1-(BASEDEF*B36*Inputs!$C$23)/((BASEDEF*B36*Inputs!$C$23)+C36)))</f>
        <v/>
      </c>
      <c r="N36">
        <f>SQRT((BASEDPS*B36/(1+STATCOEF)*(1+STATCOEF*Inputs!$B$24)*Inputs!$C$24)*(BASEHP*B36/(1+STATCOEF)*(1+STATCOEF*Inputs!$B$24)*Inputs!$C$24)/(1-(BASEDEF*B36*Inputs!$C$24)/((BASEDEF*B36*Inputs!$C$24)+C36)))</f>
        <v/>
      </c>
      <c r="O36" s="9">
        <f>1-SQRT((BASEDPS*B36/(1+STATCOEF))*(BASEHP*B36/(1+STATCOEF))/(1-F36/(F36+C36)))/I36</f>
        <v/>
      </c>
    </row>
    <row r="37">
      <c r="A37" t="n">
        <v>36</v>
      </c>
      <c r="B37">
        <f>GROWTH^(A37-1)</f>
        <v/>
      </c>
      <c r="C37">
        <f>KANCHOR*B37</f>
        <v/>
      </c>
      <c r="D37">
        <f>BASEDPS*B37/(1+STATCOEF)*(1+STATCOEF*Inputs!$B$22)*Inputs!$C$22</f>
        <v/>
      </c>
      <c r="E37">
        <f>BASEHP*B37/(1+STATCOEF)*(1+STATCOEF*Inputs!$B$22)*Inputs!$C$22</f>
        <v/>
      </c>
      <c r="F37">
        <f>BASEDEF*B37*Inputs!$C$22</f>
        <v/>
      </c>
      <c r="G37" s="8">
        <f>F37/(F37+C37)</f>
        <v/>
      </c>
      <c r="H37">
        <f>E37/(1-G37)</f>
        <v/>
      </c>
      <c r="I37">
        <f>SQRT(D37*H37)</f>
        <v/>
      </c>
      <c r="J37">
        <f>D37*PHYSMIX/ATKSPD</f>
        <v/>
      </c>
      <c r="K37">
        <f>D37*(1-PHYSMIX)/CASTRATE</f>
        <v/>
      </c>
      <c r="L37">
        <f>MIN(MSPDBASE*(1+STATCOEF*Inputs!$B$22),MSPDCAP)</f>
        <v/>
      </c>
      <c r="M37">
        <f>SQRT((BASEDPS*B37/(1+STATCOEF)*(1+STATCOEF*Inputs!$B$23)*Inputs!$C$23)*(BASEHP*B37/(1+STATCOEF)*(1+STATCOEF*Inputs!$B$23)*Inputs!$C$23)/(1-(BASEDEF*B37*Inputs!$C$23)/((BASEDEF*B37*Inputs!$C$23)+C37)))</f>
        <v/>
      </c>
      <c r="N37">
        <f>SQRT((BASEDPS*B37/(1+STATCOEF)*(1+STATCOEF*Inputs!$B$24)*Inputs!$C$24)*(BASEHP*B37/(1+STATCOEF)*(1+STATCOEF*Inputs!$B$24)*Inputs!$C$24)/(1-(BASEDEF*B37*Inputs!$C$24)/((BASEDEF*B37*Inputs!$C$24)+C37)))</f>
        <v/>
      </c>
      <c r="O37" s="9">
        <f>1-SQRT((BASEDPS*B37/(1+STATCOEF))*(BASEHP*B37/(1+STATCOEF))/(1-F37/(F37+C37)))/I37</f>
        <v/>
      </c>
    </row>
    <row r="38">
      <c r="A38" t="n">
        <v>37</v>
      </c>
      <c r="B38">
        <f>GROWTH^(A38-1)</f>
        <v/>
      </c>
      <c r="C38">
        <f>KANCHOR*B38</f>
        <v/>
      </c>
      <c r="D38">
        <f>BASEDPS*B38/(1+STATCOEF)*(1+STATCOEF*Inputs!$B$22)*Inputs!$C$22</f>
        <v/>
      </c>
      <c r="E38">
        <f>BASEHP*B38/(1+STATCOEF)*(1+STATCOEF*Inputs!$B$22)*Inputs!$C$22</f>
        <v/>
      </c>
      <c r="F38">
        <f>BASEDEF*B38*Inputs!$C$22</f>
        <v/>
      </c>
      <c r="G38" s="8">
        <f>F38/(F38+C38)</f>
        <v/>
      </c>
      <c r="H38">
        <f>E38/(1-G38)</f>
        <v/>
      </c>
      <c r="I38">
        <f>SQRT(D38*H38)</f>
        <v/>
      </c>
      <c r="J38">
        <f>D38*PHYSMIX/ATKSPD</f>
        <v/>
      </c>
      <c r="K38">
        <f>D38*(1-PHYSMIX)/CASTRATE</f>
        <v/>
      </c>
      <c r="L38">
        <f>MIN(MSPDBASE*(1+STATCOEF*Inputs!$B$22),MSPDCAP)</f>
        <v/>
      </c>
      <c r="M38">
        <f>SQRT((BASEDPS*B38/(1+STATCOEF)*(1+STATCOEF*Inputs!$B$23)*Inputs!$C$23)*(BASEHP*B38/(1+STATCOEF)*(1+STATCOEF*Inputs!$B$23)*Inputs!$C$23)/(1-(BASEDEF*B38*Inputs!$C$23)/((BASEDEF*B38*Inputs!$C$23)+C38)))</f>
        <v/>
      </c>
      <c r="N38">
        <f>SQRT((BASEDPS*B38/(1+STATCOEF)*(1+STATCOEF*Inputs!$B$24)*Inputs!$C$24)*(BASEHP*B38/(1+STATCOEF)*(1+STATCOEF*Inputs!$B$24)*Inputs!$C$24)/(1-(BASEDEF*B38*Inputs!$C$24)/((BASEDEF*B38*Inputs!$C$24)+C38)))</f>
        <v/>
      </c>
      <c r="O38" s="9">
        <f>1-SQRT((BASEDPS*B38/(1+STATCOEF))*(BASEHP*B38/(1+STATCOEF))/(1-F38/(F38+C38)))/I38</f>
        <v/>
      </c>
    </row>
    <row r="39">
      <c r="A39" t="n">
        <v>38</v>
      </c>
      <c r="B39">
        <f>GROWTH^(A39-1)</f>
        <v/>
      </c>
      <c r="C39">
        <f>KANCHOR*B39</f>
        <v/>
      </c>
      <c r="D39">
        <f>BASEDPS*B39/(1+STATCOEF)*(1+STATCOEF*Inputs!$B$22)*Inputs!$C$22</f>
        <v/>
      </c>
      <c r="E39">
        <f>BASEHP*B39/(1+STATCOEF)*(1+STATCOEF*Inputs!$B$22)*Inputs!$C$22</f>
        <v/>
      </c>
      <c r="F39">
        <f>BASEDEF*B39*Inputs!$C$22</f>
        <v/>
      </c>
      <c r="G39" s="8">
        <f>F39/(F39+C39)</f>
        <v/>
      </c>
      <c r="H39">
        <f>E39/(1-G39)</f>
        <v/>
      </c>
      <c r="I39">
        <f>SQRT(D39*H39)</f>
        <v/>
      </c>
      <c r="J39">
        <f>D39*PHYSMIX/ATKSPD</f>
        <v/>
      </c>
      <c r="K39">
        <f>D39*(1-PHYSMIX)/CASTRATE</f>
        <v/>
      </c>
      <c r="L39">
        <f>MIN(MSPDBASE*(1+STATCOEF*Inputs!$B$22),MSPDCAP)</f>
        <v/>
      </c>
      <c r="M39">
        <f>SQRT((BASEDPS*B39/(1+STATCOEF)*(1+STATCOEF*Inputs!$B$23)*Inputs!$C$23)*(BASEHP*B39/(1+STATCOEF)*(1+STATCOEF*Inputs!$B$23)*Inputs!$C$23)/(1-(BASEDEF*B39*Inputs!$C$23)/((BASEDEF*B39*Inputs!$C$23)+C39)))</f>
        <v/>
      </c>
      <c r="N39">
        <f>SQRT((BASEDPS*B39/(1+STATCOEF)*(1+STATCOEF*Inputs!$B$24)*Inputs!$C$24)*(BASEHP*B39/(1+STATCOEF)*(1+STATCOEF*Inputs!$B$24)*Inputs!$C$24)/(1-(BASEDEF*B39*Inputs!$C$24)/((BASEDEF*B39*Inputs!$C$24)+C39)))</f>
        <v/>
      </c>
      <c r="O39" s="9">
        <f>1-SQRT((BASEDPS*B39/(1+STATCOEF))*(BASEHP*B39/(1+STATCOEF))/(1-F39/(F39+C39)))/I39</f>
        <v/>
      </c>
    </row>
    <row r="40">
      <c r="A40" t="n">
        <v>39</v>
      </c>
      <c r="B40">
        <f>GROWTH^(A40-1)</f>
        <v/>
      </c>
      <c r="C40">
        <f>KANCHOR*B40</f>
        <v/>
      </c>
      <c r="D40">
        <f>BASEDPS*B40/(1+STATCOEF)*(1+STATCOEF*Inputs!$B$22)*Inputs!$C$22</f>
        <v/>
      </c>
      <c r="E40">
        <f>BASEHP*B40/(1+STATCOEF)*(1+STATCOEF*Inputs!$B$22)*Inputs!$C$22</f>
        <v/>
      </c>
      <c r="F40">
        <f>BASEDEF*B40*Inputs!$C$22</f>
        <v/>
      </c>
      <c r="G40" s="8">
        <f>F40/(F40+C40)</f>
        <v/>
      </c>
      <c r="H40">
        <f>E40/(1-G40)</f>
        <v/>
      </c>
      <c r="I40">
        <f>SQRT(D40*H40)</f>
        <v/>
      </c>
      <c r="J40">
        <f>D40*PHYSMIX/ATKSPD</f>
        <v/>
      </c>
      <c r="K40">
        <f>D40*(1-PHYSMIX)/CASTRATE</f>
        <v/>
      </c>
      <c r="L40">
        <f>MIN(MSPDBASE*(1+STATCOEF*Inputs!$B$22),MSPDCAP)</f>
        <v/>
      </c>
      <c r="M40">
        <f>SQRT((BASEDPS*B40/(1+STATCOEF)*(1+STATCOEF*Inputs!$B$23)*Inputs!$C$23)*(BASEHP*B40/(1+STATCOEF)*(1+STATCOEF*Inputs!$B$23)*Inputs!$C$23)/(1-(BASEDEF*B40*Inputs!$C$23)/((BASEDEF*B40*Inputs!$C$23)+C40)))</f>
        <v/>
      </c>
      <c r="N40">
        <f>SQRT((BASEDPS*B40/(1+STATCOEF)*(1+STATCOEF*Inputs!$B$24)*Inputs!$C$24)*(BASEHP*B40/(1+STATCOEF)*(1+STATCOEF*Inputs!$B$24)*Inputs!$C$24)/(1-(BASEDEF*B40*Inputs!$C$24)/((BASEDEF*B40*Inputs!$C$24)+C40)))</f>
        <v/>
      </c>
      <c r="O40" s="9">
        <f>1-SQRT((BASEDPS*B40/(1+STATCOEF))*(BASEHP*B40/(1+STATCOEF))/(1-F40/(F40+C40)))/I40</f>
        <v/>
      </c>
    </row>
    <row r="41">
      <c r="A41" t="n">
        <v>40</v>
      </c>
      <c r="B41">
        <f>GROWTH^(A41-1)</f>
        <v/>
      </c>
      <c r="C41">
        <f>KANCHOR*B41</f>
        <v/>
      </c>
      <c r="D41">
        <f>BASEDPS*B41/(1+STATCOEF)*(1+STATCOEF*Inputs!$B$22)*Inputs!$C$22</f>
        <v/>
      </c>
      <c r="E41">
        <f>BASEHP*B41/(1+STATCOEF)*(1+STATCOEF*Inputs!$B$22)*Inputs!$C$22</f>
        <v/>
      </c>
      <c r="F41">
        <f>BASEDEF*B41*Inputs!$C$22</f>
        <v/>
      </c>
      <c r="G41" s="8">
        <f>F41/(F41+C41)</f>
        <v/>
      </c>
      <c r="H41">
        <f>E41/(1-G41)</f>
        <v/>
      </c>
      <c r="I41">
        <f>SQRT(D41*H41)</f>
        <v/>
      </c>
      <c r="J41">
        <f>D41*PHYSMIX/ATKSPD</f>
        <v/>
      </c>
      <c r="K41">
        <f>D41*(1-PHYSMIX)/CASTRATE</f>
        <v/>
      </c>
      <c r="L41">
        <f>MIN(MSPDBASE*(1+STATCOEF*Inputs!$B$22),MSPDCAP)</f>
        <v/>
      </c>
      <c r="M41">
        <f>SQRT((BASEDPS*B41/(1+STATCOEF)*(1+STATCOEF*Inputs!$B$23)*Inputs!$C$23)*(BASEHP*B41/(1+STATCOEF)*(1+STATCOEF*Inputs!$B$23)*Inputs!$C$23)/(1-(BASEDEF*B41*Inputs!$C$23)/((BASEDEF*B41*Inputs!$C$23)+C41)))</f>
        <v/>
      </c>
      <c r="N41">
        <f>SQRT((BASEDPS*B41/(1+STATCOEF)*(1+STATCOEF*Inputs!$B$24)*Inputs!$C$24)*(BASEHP*B41/(1+STATCOEF)*(1+STATCOEF*Inputs!$B$24)*Inputs!$C$24)/(1-(BASEDEF*B41*Inputs!$C$24)/((BASEDEF*B41*Inputs!$C$24)+C41)))</f>
        <v/>
      </c>
      <c r="O41" s="9">
        <f>1-SQRT((BASEDPS*B41/(1+STATCOEF))*(BASEHP*B41/(1+STATCOEF))/(1-F41/(F41+C41)))/I41</f>
        <v/>
      </c>
    </row>
    <row r="42">
      <c r="A42" t="n">
        <v>41</v>
      </c>
      <c r="B42">
        <f>GROWTH^(A42-1)</f>
        <v/>
      </c>
      <c r="C42">
        <f>KANCHOR*B42</f>
        <v/>
      </c>
      <c r="D42">
        <f>BASEDPS*B42/(1+STATCOEF)*(1+STATCOEF*Inputs!$B$22)*Inputs!$C$22</f>
        <v/>
      </c>
      <c r="E42">
        <f>BASEHP*B42/(1+STATCOEF)*(1+STATCOEF*Inputs!$B$22)*Inputs!$C$22</f>
        <v/>
      </c>
      <c r="F42">
        <f>BASEDEF*B42*Inputs!$C$22</f>
        <v/>
      </c>
      <c r="G42" s="8">
        <f>F42/(F42+C42)</f>
        <v/>
      </c>
      <c r="H42">
        <f>E42/(1-G42)</f>
        <v/>
      </c>
      <c r="I42">
        <f>SQRT(D42*H42)</f>
        <v/>
      </c>
      <c r="J42">
        <f>D42*PHYSMIX/ATKSPD</f>
        <v/>
      </c>
      <c r="K42">
        <f>D42*(1-PHYSMIX)/CASTRATE</f>
        <v/>
      </c>
      <c r="L42">
        <f>MIN(MSPDBASE*(1+STATCOEF*Inputs!$B$22),MSPDCAP)</f>
        <v/>
      </c>
      <c r="M42">
        <f>SQRT((BASEDPS*B42/(1+STATCOEF)*(1+STATCOEF*Inputs!$B$23)*Inputs!$C$23)*(BASEHP*B42/(1+STATCOEF)*(1+STATCOEF*Inputs!$B$23)*Inputs!$C$23)/(1-(BASEDEF*B42*Inputs!$C$23)/((BASEDEF*B42*Inputs!$C$23)+C42)))</f>
        <v/>
      </c>
      <c r="N42">
        <f>SQRT((BASEDPS*B42/(1+STATCOEF)*(1+STATCOEF*Inputs!$B$24)*Inputs!$C$24)*(BASEHP*B42/(1+STATCOEF)*(1+STATCOEF*Inputs!$B$24)*Inputs!$C$24)/(1-(BASEDEF*B42*Inputs!$C$24)/((BASEDEF*B42*Inputs!$C$24)+C42)))</f>
        <v/>
      </c>
      <c r="O42" s="9">
        <f>1-SQRT((BASEDPS*B42/(1+STATCOEF))*(BASEHP*B42/(1+STATCOEF))/(1-F42/(F42+C42)))/I42</f>
        <v/>
      </c>
    </row>
    <row r="43">
      <c r="A43" t="n">
        <v>42</v>
      </c>
      <c r="B43">
        <f>GROWTH^(A43-1)</f>
        <v/>
      </c>
      <c r="C43">
        <f>KANCHOR*B43</f>
        <v/>
      </c>
      <c r="D43">
        <f>BASEDPS*B43/(1+STATCOEF)*(1+STATCOEF*Inputs!$B$22)*Inputs!$C$22</f>
        <v/>
      </c>
      <c r="E43">
        <f>BASEHP*B43/(1+STATCOEF)*(1+STATCOEF*Inputs!$B$22)*Inputs!$C$22</f>
        <v/>
      </c>
      <c r="F43">
        <f>BASEDEF*B43*Inputs!$C$22</f>
        <v/>
      </c>
      <c r="G43" s="8">
        <f>F43/(F43+C43)</f>
        <v/>
      </c>
      <c r="H43">
        <f>E43/(1-G43)</f>
        <v/>
      </c>
      <c r="I43">
        <f>SQRT(D43*H43)</f>
        <v/>
      </c>
      <c r="J43">
        <f>D43*PHYSMIX/ATKSPD</f>
        <v/>
      </c>
      <c r="K43">
        <f>D43*(1-PHYSMIX)/CASTRATE</f>
        <v/>
      </c>
      <c r="L43">
        <f>MIN(MSPDBASE*(1+STATCOEF*Inputs!$B$22),MSPDCAP)</f>
        <v/>
      </c>
      <c r="M43">
        <f>SQRT((BASEDPS*B43/(1+STATCOEF)*(1+STATCOEF*Inputs!$B$23)*Inputs!$C$23)*(BASEHP*B43/(1+STATCOEF)*(1+STATCOEF*Inputs!$B$23)*Inputs!$C$23)/(1-(BASEDEF*B43*Inputs!$C$23)/((BASEDEF*B43*Inputs!$C$23)+C43)))</f>
        <v/>
      </c>
      <c r="N43">
        <f>SQRT((BASEDPS*B43/(1+STATCOEF)*(1+STATCOEF*Inputs!$B$24)*Inputs!$C$24)*(BASEHP*B43/(1+STATCOEF)*(1+STATCOEF*Inputs!$B$24)*Inputs!$C$24)/(1-(BASEDEF*B43*Inputs!$C$24)/((BASEDEF*B43*Inputs!$C$24)+C43)))</f>
        <v/>
      </c>
      <c r="O43" s="9">
        <f>1-SQRT((BASEDPS*B43/(1+STATCOEF))*(BASEHP*B43/(1+STATCOEF))/(1-F43/(F43+C43)))/I43</f>
        <v/>
      </c>
    </row>
    <row r="44">
      <c r="A44" t="n">
        <v>43</v>
      </c>
      <c r="B44">
        <f>GROWTH^(A44-1)</f>
        <v/>
      </c>
      <c r="C44">
        <f>KANCHOR*B44</f>
        <v/>
      </c>
      <c r="D44">
        <f>BASEDPS*B44/(1+STATCOEF)*(1+STATCOEF*Inputs!$B$22)*Inputs!$C$22</f>
        <v/>
      </c>
      <c r="E44">
        <f>BASEHP*B44/(1+STATCOEF)*(1+STATCOEF*Inputs!$B$22)*Inputs!$C$22</f>
        <v/>
      </c>
      <c r="F44">
        <f>BASEDEF*B44*Inputs!$C$22</f>
        <v/>
      </c>
      <c r="G44" s="8">
        <f>F44/(F44+C44)</f>
        <v/>
      </c>
      <c r="H44">
        <f>E44/(1-G44)</f>
        <v/>
      </c>
      <c r="I44">
        <f>SQRT(D44*H44)</f>
        <v/>
      </c>
      <c r="J44">
        <f>D44*PHYSMIX/ATKSPD</f>
        <v/>
      </c>
      <c r="K44">
        <f>D44*(1-PHYSMIX)/CASTRATE</f>
        <v/>
      </c>
      <c r="L44">
        <f>MIN(MSPDBASE*(1+STATCOEF*Inputs!$B$22),MSPDCAP)</f>
        <v/>
      </c>
      <c r="M44">
        <f>SQRT((BASEDPS*B44/(1+STATCOEF)*(1+STATCOEF*Inputs!$B$23)*Inputs!$C$23)*(BASEHP*B44/(1+STATCOEF)*(1+STATCOEF*Inputs!$B$23)*Inputs!$C$23)/(1-(BASEDEF*B44*Inputs!$C$23)/((BASEDEF*B44*Inputs!$C$23)+C44)))</f>
        <v/>
      </c>
      <c r="N44">
        <f>SQRT((BASEDPS*B44/(1+STATCOEF)*(1+STATCOEF*Inputs!$B$24)*Inputs!$C$24)*(BASEHP*B44/(1+STATCOEF)*(1+STATCOEF*Inputs!$B$24)*Inputs!$C$24)/(1-(BASEDEF*B44*Inputs!$C$24)/((BASEDEF*B44*Inputs!$C$24)+C44)))</f>
        <v/>
      </c>
      <c r="O44" s="9">
        <f>1-SQRT((BASEDPS*B44/(1+STATCOEF))*(BASEHP*B44/(1+STATCOEF))/(1-F44/(F44+C44)))/I44</f>
        <v/>
      </c>
    </row>
    <row r="45">
      <c r="A45" t="n">
        <v>44</v>
      </c>
      <c r="B45">
        <f>GROWTH^(A45-1)</f>
        <v/>
      </c>
      <c r="C45">
        <f>KANCHOR*B45</f>
        <v/>
      </c>
      <c r="D45">
        <f>BASEDPS*B45/(1+STATCOEF)*(1+STATCOEF*Inputs!$B$22)*Inputs!$C$22</f>
        <v/>
      </c>
      <c r="E45">
        <f>BASEHP*B45/(1+STATCOEF)*(1+STATCOEF*Inputs!$B$22)*Inputs!$C$22</f>
        <v/>
      </c>
      <c r="F45">
        <f>BASEDEF*B45*Inputs!$C$22</f>
        <v/>
      </c>
      <c r="G45" s="8">
        <f>F45/(F45+C45)</f>
        <v/>
      </c>
      <c r="H45">
        <f>E45/(1-G45)</f>
        <v/>
      </c>
      <c r="I45">
        <f>SQRT(D45*H45)</f>
        <v/>
      </c>
      <c r="J45">
        <f>D45*PHYSMIX/ATKSPD</f>
        <v/>
      </c>
      <c r="K45">
        <f>D45*(1-PHYSMIX)/CASTRATE</f>
        <v/>
      </c>
      <c r="L45">
        <f>MIN(MSPDBASE*(1+STATCOEF*Inputs!$B$22),MSPDCAP)</f>
        <v/>
      </c>
      <c r="M45">
        <f>SQRT((BASEDPS*B45/(1+STATCOEF)*(1+STATCOEF*Inputs!$B$23)*Inputs!$C$23)*(BASEHP*B45/(1+STATCOEF)*(1+STATCOEF*Inputs!$B$23)*Inputs!$C$23)/(1-(BASEDEF*B45*Inputs!$C$23)/((BASEDEF*B45*Inputs!$C$23)+C45)))</f>
        <v/>
      </c>
      <c r="N45">
        <f>SQRT((BASEDPS*B45/(1+STATCOEF)*(1+STATCOEF*Inputs!$B$24)*Inputs!$C$24)*(BASEHP*B45/(1+STATCOEF)*(1+STATCOEF*Inputs!$B$24)*Inputs!$C$24)/(1-(BASEDEF*B45*Inputs!$C$24)/((BASEDEF*B45*Inputs!$C$24)+C45)))</f>
        <v/>
      </c>
      <c r="O45" s="9">
        <f>1-SQRT((BASEDPS*B45/(1+STATCOEF))*(BASEHP*B45/(1+STATCOEF))/(1-F45/(F45+C45)))/I45</f>
        <v/>
      </c>
    </row>
    <row r="46">
      <c r="A46" t="n">
        <v>45</v>
      </c>
      <c r="B46">
        <f>GROWTH^(A46-1)</f>
        <v/>
      </c>
      <c r="C46">
        <f>KANCHOR*B46</f>
        <v/>
      </c>
      <c r="D46">
        <f>BASEDPS*B46/(1+STATCOEF)*(1+STATCOEF*Inputs!$B$22)*Inputs!$C$22</f>
        <v/>
      </c>
      <c r="E46">
        <f>BASEHP*B46/(1+STATCOEF)*(1+STATCOEF*Inputs!$B$22)*Inputs!$C$22</f>
        <v/>
      </c>
      <c r="F46">
        <f>BASEDEF*B46*Inputs!$C$22</f>
        <v/>
      </c>
      <c r="G46" s="8">
        <f>F46/(F46+C46)</f>
        <v/>
      </c>
      <c r="H46">
        <f>E46/(1-G46)</f>
        <v/>
      </c>
      <c r="I46">
        <f>SQRT(D46*H46)</f>
        <v/>
      </c>
      <c r="J46">
        <f>D46*PHYSMIX/ATKSPD</f>
        <v/>
      </c>
      <c r="K46">
        <f>D46*(1-PHYSMIX)/CASTRATE</f>
        <v/>
      </c>
      <c r="L46">
        <f>MIN(MSPDBASE*(1+STATCOEF*Inputs!$B$22),MSPDCAP)</f>
        <v/>
      </c>
      <c r="M46">
        <f>SQRT((BASEDPS*B46/(1+STATCOEF)*(1+STATCOEF*Inputs!$B$23)*Inputs!$C$23)*(BASEHP*B46/(1+STATCOEF)*(1+STATCOEF*Inputs!$B$23)*Inputs!$C$23)/(1-(BASEDEF*B46*Inputs!$C$23)/((BASEDEF*B46*Inputs!$C$23)+C46)))</f>
        <v/>
      </c>
      <c r="N46">
        <f>SQRT((BASEDPS*B46/(1+STATCOEF)*(1+STATCOEF*Inputs!$B$24)*Inputs!$C$24)*(BASEHP*B46/(1+STATCOEF)*(1+STATCOEF*Inputs!$B$24)*Inputs!$C$24)/(1-(BASEDEF*B46*Inputs!$C$24)/((BASEDEF*B46*Inputs!$C$24)+C46)))</f>
        <v/>
      </c>
      <c r="O46" s="9">
        <f>1-SQRT((BASEDPS*B46/(1+STATCOEF))*(BASEHP*B46/(1+STATCOEF))/(1-F46/(F46+C46)))/I46</f>
        <v/>
      </c>
    </row>
    <row r="47">
      <c r="A47" t="n">
        <v>46</v>
      </c>
      <c r="B47">
        <f>GROWTH^(A47-1)</f>
        <v/>
      </c>
      <c r="C47">
        <f>KANCHOR*B47</f>
        <v/>
      </c>
      <c r="D47">
        <f>BASEDPS*B47/(1+STATCOEF)*(1+STATCOEF*Inputs!$B$22)*Inputs!$C$22</f>
        <v/>
      </c>
      <c r="E47">
        <f>BASEHP*B47/(1+STATCOEF)*(1+STATCOEF*Inputs!$B$22)*Inputs!$C$22</f>
        <v/>
      </c>
      <c r="F47">
        <f>BASEDEF*B47*Inputs!$C$22</f>
        <v/>
      </c>
      <c r="G47" s="8">
        <f>F47/(F47+C47)</f>
        <v/>
      </c>
      <c r="H47">
        <f>E47/(1-G47)</f>
        <v/>
      </c>
      <c r="I47">
        <f>SQRT(D47*H47)</f>
        <v/>
      </c>
      <c r="J47">
        <f>D47*PHYSMIX/ATKSPD</f>
        <v/>
      </c>
      <c r="K47">
        <f>D47*(1-PHYSMIX)/CASTRATE</f>
        <v/>
      </c>
      <c r="L47">
        <f>MIN(MSPDBASE*(1+STATCOEF*Inputs!$B$22),MSPDCAP)</f>
        <v/>
      </c>
      <c r="M47">
        <f>SQRT((BASEDPS*B47/(1+STATCOEF)*(1+STATCOEF*Inputs!$B$23)*Inputs!$C$23)*(BASEHP*B47/(1+STATCOEF)*(1+STATCOEF*Inputs!$B$23)*Inputs!$C$23)/(1-(BASEDEF*B47*Inputs!$C$23)/((BASEDEF*B47*Inputs!$C$23)+C47)))</f>
        <v/>
      </c>
      <c r="N47">
        <f>SQRT((BASEDPS*B47/(1+STATCOEF)*(1+STATCOEF*Inputs!$B$24)*Inputs!$C$24)*(BASEHP*B47/(1+STATCOEF)*(1+STATCOEF*Inputs!$B$24)*Inputs!$C$24)/(1-(BASEDEF*B47*Inputs!$C$24)/((BASEDEF*B47*Inputs!$C$24)+C47)))</f>
        <v/>
      </c>
      <c r="O47" s="9">
        <f>1-SQRT((BASEDPS*B47/(1+STATCOEF))*(BASEHP*B47/(1+STATCOEF))/(1-F47/(F47+C47)))/I47</f>
        <v/>
      </c>
    </row>
    <row r="48">
      <c r="A48" t="n">
        <v>47</v>
      </c>
      <c r="B48">
        <f>GROWTH^(A48-1)</f>
        <v/>
      </c>
      <c r="C48">
        <f>KANCHOR*B48</f>
        <v/>
      </c>
      <c r="D48">
        <f>BASEDPS*B48/(1+STATCOEF)*(1+STATCOEF*Inputs!$B$22)*Inputs!$C$22</f>
        <v/>
      </c>
      <c r="E48">
        <f>BASEHP*B48/(1+STATCOEF)*(1+STATCOEF*Inputs!$B$22)*Inputs!$C$22</f>
        <v/>
      </c>
      <c r="F48">
        <f>BASEDEF*B48*Inputs!$C$22</f>
        <v/>
      </c>
      <c r="G48" s="8">
        <f>F48/(F48+C48)</f>
        <v/>
      </c>
      <c r="H48">
        <f>E48/(1-G48)</f>
        <v/>
      </c>
      <c r="I48">
        <f>SQRT(D48*H48)</f>
        <v/>
      </c>
      <c r="J48">
        <f>D48*PHYSMIX/ATKSPD</f>
        <v/>
      </c>
      <c r="K48">
        <f>D48*(1-PHYSMIX)/CASTRATE</f>
        <v/>
      </c>
      <c r="L48">
        <f>MIN(MSPDBASE*(1+STATCOEF*Inputs!$B$22),MSPDCAP)</f>
        <v/>
      </c>
      <c r="M48">
        <f>SQRT((BASEDPS*B48/(1+STATCOEF)*(1+STATCOEF*Inputs!$B$23)*Inputs!$C$23)*(BASEHP*B48/(1+STATCOEF)*(1+STATCOEF*Inputs!$B$23)*Inputs!$C$23)/(1-(BASEDEF*B48*Inputs!$C$23)/((BASEDEF*B48*Inputs!$C$23)+C48)))</f>
        <v/>
      </c>
      <c r="N48">
        <f>SQRT((BASEDPS*B48/(1+STATCOEF)*(1+STATCOEF*Inputs!$B$24)*Inputs!$C$24)*(BASEHP*B48/(1+STATCOEF)*(1+STATCOEF*Inputs!$B$24)*Inputs!$C$24)/(1-(BASEDEF*B48*Inputs!$C$24)/((BASEDEF*B48*Inputs!$C$24)+C48)))</f>
        <v/>
      </c>
      <c r="O48" s="9">
        <f>1-SQRT((BASEDPS*B48/(1+STATCOEF))*(BASEHP*B48/(1+STATCOEF))/(1-F48/(F48+C48)))/I48</f>
        <v/>
      </c>
    </row>
    <row r="49">
      <c r="A49" t="n">
        <v>48</v>
      </c>
      <c r="B49">
        <f>GROWTH^(A49-1)</f>
        <v/>
      </c>
      <c r="C49">
        <f>KANCHOR*B49</f>
        <v/>
      </c>
      <c r="D49">
        <f>BASEDPS*B49/(1+STATCOEF)*(1+STATCOEF*Inputs!$B$22)*Inputs!$C$22</f>
        <v/>
      </c>
      <c r="E49">
        <f>BASEHP*B49/(1+STATCOEF)*(1+STATCOEF*Inputs!$B$22)*Inputs!$C$22</f>
        <v/>
      </c>
      <c r="F49">
        <f>BASEDEF*B49*Inputs!$C$22</f>
        <v/>
      </c>
      <c r="G49" s="8">
        <f>F49/(F49+C49)</f>
        <v/>
      </c>
      <c r="H49">
        <f>E49/(1-G49)</f>
        <v/>
      </c>
      <c r="I49">
        <f>SQRT(D49*H49)</f>
        <v/>
      </c>
      <c r="J49">
        <f>D49*PHYSMIX/ATKSPD</f>
        <v/>
      </c>
      <c r="K49">
        <f>D49*(1-PHYSMIX)/CASTRATE</f>
        <v/>
      </c>
      <c r="L49">
        <f>MIN(MSPDBASE*(1+STATCOEF*Inputs!$B$22),MSPDCAP)</f>
        <v/>
      </c>
      <c r="M49">
        <f>SQRT((BASEDPS*B49/(1+STATCOEF)*(1+STATCOEF*Inputs!$B$23)*Inputs!$C$23)*(BASEHP*B49/(1+STATCOEF)*(1+STATCOEF*Inputs!$B$23)*Inputs!$C$23)/(1-(BASEDEF*B49*Inputs!$C$23)/((BASEDEF*B49*Inputs!$C$23)+C49)))</f>
        <v/>
      </c>
      <c r="N49">
        <f>SQRT((BASEDPS*B49/(1+STATCOEF)*(1+STATCOEF*Inputs!$B$24)*Inputs!$C$24)*(BASEHP*B49/(1+STATCOEF)*(1+STATCOEF*Inputs!$B$24)*Inputs!$C$24)/(1-(BASEDEF*B49*Inputs!$C$24)/((BASEDEF*B49*Inputs!$C$24)+C49)))</f>
        <v/>
      </c>
      <c r="O49" s="9">
        <f>1-SQRT((BASEDPS*B49/(1+STATCOEF))*(BASEHP*B49/(1+STATCOEF))/(1-F49/(F49+C49)))/I49</f>
        <v/>
      </c>
    </row>
    <row r="50">
      <c r="A50" t="n">
        <v>49</v>
      </c>
      <c r="B50">
        <f>GROWTH^(A50-1)</f>
        <v/>
      </c>
      <c r="C50">
        <f>KANCHOR*B50</f>
        <v/>
      </c>
      <c r="D50">
        <f>BASEDPS*B50/(1+STATCOEF)*(1+STATCOEF*Inputs!$B$22)*Inputs!$C$22</f>
        <v/>
      </c>
      <c r="E50">
        <f>BASEHP*B50/(1+STATCOEF)*(1+STATCOEF*Inputs!$B$22)*Inputs!$C$22</f>
        <v/>
      </c>
      <c r="F50">
        <f>BASEDEF*B50*Inputs!$C$22</f>
        <v/>
      </c>
      <c r="G50" s="8">
        <f>F50/(F50+C50)</f>
        <v/>
      </c>
      <c r="H50">
        <f>E50/(1-G50)</f>
        <v/>
      </c>
      <c r="I50">
        <f>SQRT(D50*H50)</f>
        <v/>
      </c>
      <c r="J50">
        <f>D50*PHYSMIX/ATKSPD</f>
        <v/>
      </c>
      <c r="K50">
        <f>D50*(1-PHYSMIX)/CASTRATE</f>
        <v/>
      </c>
      <c r="L50">
        <f>MIN(MSPDBASE*(1+STATCOEF*Inputs!$B$22),MSPDCAP)</f>
        <v/>
      </c>
      <c r="M50">
        <f>SQRT((BASEDPS*B50/(1+STATCOEF)*(1+STATCOEF*Inputs!$B$23)*Inputs!$C$23)*(BASEHP*B50/(1+STATCOEF)*(1+STATCOEF*Inputs!$B$23)*Inputs!$C$23)/(1-(BASEDEF*B50*Inputs!$C$23)/((BASEDEF*B50*Inputs!$C$23)+C50)))</f>
        <v/>
      </c>
      <c r="N50">
        <f>SQRT((BASEDPS*B50/(1+STATCOEF)*(1+STATCOEF*Inputs!$B$24)*Inputs!$C$24)*(BASEHP*B50/(1+STATCOEF)*(1+STATCOEF*Inputs!$B$24)*Inputs!$C$24)/(1-(BASEDEF*B50*Inputs!$C$24)/((BASEDEF*B50*Inputs!$C$24)+C50)))</f>
        <v/>
      </c>
      <c r="O50" s="9">
        <f>1-SQRT((BASEDPS*B50/(1+STATCOEF))*(BASEHP*B50/(1+STATCOEF))/(1-F50/(F50+C50)))/I50</f>
        <v/>
      </c>
    </row>
    <row r="51">
      <c r="A51" t="n">
        <v>50</v>
      </c>
      <c r="B51">
        <f>GROWTH^(A51-1)</f>
        <v/>
      </c>
      <c r="C51">
        <f>KANCHOR*B51</f>
        <v/>
      </c>
      <c r="D51">
        <f>BASEDPS*B51/(1+STATCOEF)*(1+STATCOEF*Inputs!$B$22)*Inputs!$C$22</f>
        <v/>
      </c>
      <c r="E51">
        <f>BASEHP*B51/(1+STATCOEF)*(1+STATCOEF*Inputs!$B$22)*Inputs!$C$22</f>
        <v/>
      </c>
      <c r="F51">
        <f>BASEDEF*B51*Inputs!$C$22</f>
        <v/>
      </c>
      <c r="G51" s="8">
        <f>F51/(F51+C51)</f>
        <v/>
      </c>
      <c r="H51">
        <f>E51/(1-G51)</f>
        <v/>
      </c>
      <c r="I51">
        <f>SQRT(D51*H51)</f>
        <v/>
      </c>
      <c r="J51">
        <f>D51*PHYSMIX/ATKSPD</f>
        <v/>
      </c>
      <c r="K51">
        <f>D51*(1-PHYSMIX)/CASTRATE</f>
        <v/>
      </c>
      <c r="L51">
        <f>MIN(MSPDBASE*(1+STATCOEF*Inputs!$B$22),MSPDCAP)</f>
        <v/>
      </c>
      <c r="M51">
        <f>SQRT((BASEDPS*B51/(1+STATCOEF)*(1+STATCOEF*Inputs!$B$23)*Inputs!$C$23)*(BASEHP*B51/(1+STATCOEF)*(1+STATCOEF*Inputs!$B$23)*Inputs!$C$23)/(1-(BASEDEF*B51*Inputs!$C$23)/((BASEDEF*B51*Inputs!$C$23)+C51)))</f>
        <v/>
      </c>
      <c r="N51">
        <f>SQRT((BASEDPS*B51/(1+STATCOEF)*(1+STATCOEF*Inputs!$B$24)*Inputs!$C$24)*(BASEHP*B51/(1+STATCOEF)*(1+STATCOEF*Inputs!$B$24)*Inputs!$C$24)/(1-(BASEDEF*B51*Inputs!$C$24)/((BASEDEF*B51*Inputs!$C$24)+C51)))</f>
        <v/>
      </c>
      <c r="O51" s="9">
        <f>1-SQRT((BASEDPS*B51/(1+STATCOEF))*(BASEHP*B51/(1+STATCOEF))/(1-F51/(F51+C51)))/I51</f>
        <v/>
      </c>
    </row>
    <row r="52">
      <c r="A52" t="n">
        <v>51</v>
      </c>
      <c r="B52">
        <f>GROWTH^(A52-1)</f>
        <v/>
      </c>
      <c r="C52">
        <f>KANCHOR*B52</f>
        <v/>
      </c>
      <c r="D52">
        <f>BASEDPS*B52/(1+STATCOEF)*(1+STATCOEF*Inputs!$B$22)*Inputs!$C$22</f>
        <v/>
      </c>
      <c r="E52">
        <f>BASEHP*B52/(1+STATCOEF)*(1+STATCOEF*Inputs!$B$22)*Inputs!$C$22</f>
        <v/>
      </c>
      <c r="F52">
        <f>BASEDEF*B52*Inputs!$C$22</f>
        <v/>
      </c>
      <c r="G52" s="8">
        <f>F52/(F52+C52)</f>
        <v/>
      </c>
      <c r="H52">
        <f>E52/(1-G52)</f>
        <v/>
      </c>
      <c r="I52">
        <f>SQRT(D52*H52)</f>
        <v/>
      </c>
      <c r="J52">
        <f>D52*PHYSMIX/ATKSPD</f>
        <v/>
      </c>
      <c r="K52">
        <f>D52*(1-PHYSMIX)/CASTRATE</f>
        <v/>
      </c>
      <c r="L52">
        <f>MIN(MSPDBASE*(1+STATCOEF*Inputs!$B$22),MSPDCAP)</f>
        <v/>
      </c>
      <c r="M52">
        <f>SQRT((BASEDPS*B52/(1+STATCOEF)*(1+STATCOEF*Inputs!$B$23)*Inputs!$C$23)*(BASEHP*B52/(1+STATCOEF)*(1+STATCOEF*Inputs!$B$23)*Inputs!$C$23)/(1-(BASEDEF*B52*Inputs!$C$23)/((BASEDEF*B52*Inputs!$C$23)+C52)))</f>
        <v/>
      </c>
      <c r="N52">
        <f>SQRT((BASEDPS*B52/(1+STATCOEF)*(1+STATCOEF*Inputs!$B$24)*Inputs!$C$24)*(BASEHP*B52/(1+STATCOEF)*(1+STATCOEF*Inputs!$B$24)*Inputs!$C$24)/(1-(BASEDEF*B52*Inputs!$C$24)/((BASEDEF*B52*Inputs!$C$24)+C52)))</f>
        <v/>
      </c>
      <c r="O52" s="9">
        <f>1-SQRT((BASEDPS*B52/(1+STATCOEF))*(BASEHP*B52/(1+STATCOEF))/(1-F52/(F52+C52)))/I52</f>
        <v/>
      </c>
    </row>
    <row r="53">
      <c r="A53" t="n">
        <v>52</v>
      </c>
      <c r="B53">
        <f>GROWTH^(A53-1)</f>
        <v/>
      </c>
      <c r="C53">
        <f>KANCHOR*B53</f>
        <v/>
      </c>
      <c r="D53">
        <f>BASEDPS*B53/(1+STATCOEF)*(1+STATCOEF*Inputs!$B$22)*Inputs!$C$22</f>
        <v/>
      </c>
      <c r="E53">
        <f>BASEHP*B53/(1+STATCOEF)*(1+STATCOEF*Inputs!$B$22)*Inputs!$C$22</f>
        <v/>
      </c>
      <c r="F53">
        <f>BASEDEF*B53*Inputs!$C$22</f>
        <v/>
      </c>
      <c r="G53" s="8">
        <f>F53/(F53+C53)</f>
        <v/>
      </c>
      <c r="H53">
        <f>E53/(1-G53)</f>
        <v/>
      </c>
      <c r="I53">
        <f>SQRT(D53*H53)</f>
        <v/>
      </c>
      <c r="J53">
        <f>D53*PHYSMIX/ATKSPD</f>
        <v/>
      </c>
      <c r="K53">
        <f>D53*(1-PHYSMIX)/CASTRATE</f>
        <v/>
      </c>
      <c r="L53">
        <f>MIN(MSPDBASE*(1+STATCOEF*Inputs!$B$22),MSPDCAP)</f>
        <v/>
      </c>
      <c r="M53">
        <f>SQRT((BASEDPS*B53/(1+STATCOEF)*(1+STATCOEF*Inputs!$B$23)*Inputs!$C$23)*(BASEHP*B53/(1+STATCOEF)*(1+STATCOEF*Inputs!$B$23)*Inputs!$C$23)/(1-(BASEDEF*B53*Inputs!$C$23)/((BASEDEF*B53*Inputs!$C$23)+C53)))</f>
        <v/>
      </c>
      <c r="N53">
        <f>SQRT((BASEDPS*B53/(1+STATCOEF)*(1+STATCOEF*Inputs!$B$24)*Inputs!$C$24)*(BASEHP*B53/(1+STATCOEF)*(1+STATCOEF*Inputs!$B$24)*Inputs!$C$24)/(1-(BASEDEF*B53*Inputs!$C$24)/((BASEDEF*B53*Inputs!$C$24)+C53)))</f>
        <v/>
      </c>
      <c r="O53" s="9">
        <f>1-SQRT((BASEDPS*B53/(1+STATCOEF))*(BASEHP*B53/(1+STATCOEF))/(1-F53/(F53+C53)))/I53</f>
        <v/>
      </c>
    </row>
    <row r="54">
      <c r="A54" t="n">
        <v>53</v>
      </c>
      <c r="B54">
        <f>GROWTH^(A54-1)</f>
        <v/>
      </c>
      <c r="C54">
        <f>KANCHOR*B54</f>
        <v/>
      </c>
      <c r="D54">
        <f>BASEDPS*B54/(1+STATCOEF)*(1+STATCOEF*Inputs!$B$22)*Inputs!$C$22</f>
        <v/>
      </c>
      <c r="E54">
        <f>BASEHP*B54/(1+STATCOEF)*(1+STATCOEF*Inputs!$B$22)*Inputs!$C$22</f>
        <v/>
      </c>
      <c r="F54">
        <f>BASEDEF*B54*Inputs!$C$22</f>
        <v/>
      </c>
      <c r="G54" s="8">
        <f>F54/(F54+C54)</f>
        <v/>
      </c>
      <c r="H54">
        <f>E54/(1-G54)</f>
        <v/>
      </c>
      <c r="I54">
        <f>SQRT(D54*H54)</f>
        <v/>
      </c>
      <c r="J54">
        <f>D54*PHYSMIX/ATKSPD</f>
        <v/>
      </c>
      <c r="K54">
        <f>D54*(1-PHYSMIX)/CASTRATE</f>
        <v/>
      </c>
      <c r="L54">
        <f>MIN(MSPDBASE*(1+STATCOEF*Inputs!$B$22),MSPDCAP)</f>
        <v/>
      </c>
      <c r="M54">
        <f>SQRT((BASEDPS*B54/(1+STATCOEF)*(1+STATCOEF*Inputs!$B$23)*Inputs!$C$23)*(BASEHP*B54/(1+STATCOEF)*(1+STATCOEF*Inputs!$B$23)*Inputs!$C$23)/(1-(BASEDEF*B54*Inputs!$C$23)/((BASEDEF*B54*Inputs!$C$23)+C54)))</f>
        <v/>
      </c>
      <c r="N54">
        <f>SQRT((BASEDPS*B54/(1+STATCOEF)*(1+STATCOEF*Inputs!$B$24)*Inputs!$C$24)*(BASEHP*B54/(1+STATCOEF)*(1+STATCOEF*Inputs!$B$24)*Inputs!$C$24)/(1-(BASEDEF*B54*Inputs!$C$24)/((BASEDEF*B54*Inputs!$C$24)+C54)))</f>
        <v/>
      </c>
      <c r="O54" s="9">
        <f>1-SQRT((BASEDPS*B54/(1+STATCOEF))*(BASEHP*B54/(1+STATCOEF))/(1-F54/(F54+C54)))/I54</f>
        <v/>
      </c>
    </row>
    <row r="55">
      <c r="A55" t="n">
        <v>54</v>
      </c>
      <c r="B55">
        <f>GROWTH^(A55-1)</f>
        <v/>
      </c>
      <c r="C55">
        <f>KANCHOR*B55</f>
        <v/>
      </c>
      <c r="D55">
        <f>BASEDPS*B55/(1+STATCOEF)*(1+STATCOEF*Inputs!$B$22)*Inputs!$C$22</f>
        <v/>
      </c>
      <c r="E55">
        <f>BASEHP*B55/(1+STATCOEF)*(1+STATCOEF*Inputs!$B$22)*Inputs!$C$22</f>
        <v/>
      </c>
      <c r="F55">
        <f>BASEDEF*B55*Inputs!$C$22</f>
        <v/>
      </c>
      <c r="G55" s="8">
        <f>F55/(F55+C55)</f>
        <v/>
      </c>
      <c r="H55">
        <f>E55/(1-G55)</f>
        <v/>
      </c>
      <c r="I55">
        <f>SQRT(D55*H55)</f>
        <v/>
      </c>
      <c r="J55">
        <f>D55*PHYSMIX/ATKSPD</f>
        <v/>
      </c>
      <c r="K55">
        <f>D55*(1-PHYSMIX)/CASTRATE</f>
        <v/>
      </c>
      <c r="L55">
        <f>MIN(MSPDBASE*(1+STATCOEF*Inputs!$B$22),MSPDCAP)</f>
        <v/>
      </c>
      <c r="M55">
        <f>SQRT((BASEDPS*B55/(1+STATCOEF)*(1+STATCOEF*Inputs!$B$23)*Inputs!$C$23)*(BASEHP*B55/(1+STATCOEF)*(1+STATCOEF*Inputs!$B$23)*Inputs!$C$23)/(1-(BASEDEF*B55*Inputs!$C$23)/((BASEDEF*B55*Inputs!$C$23)+C55)))</f>
        <v/>
      </c>
      <c r="N55">
        <f>SQRT((BASEDPS*B55/(1+STATCOEF)*(1+STATCOEF*Inputs!$B$24)*Inputs!$C$24)*(BASEHP*B55/(1+STATCOEF)*(1+STATCOEF*Inputs!$B$24)*Inputs!$C$24)/(1-(BASEDEF*B55*Inputs!$C$24)/((BASEDEF*B55*Inputs!$C$24)+C55)))</f>
        <v/>
      </c>
      <c r="O55" s="9">
        <f>1-SQRT((BASEDPS*B55/(1+STATCOEF))*(BASEHP*B55/(1+STATCOEF))/(1-F55/(F55+C55)))/I55</f>
        <v/>
      </c>
    </row>
    <row r="56">
      <c r="A56" t="n">
        <v>55</v>
      </c>
      <c r="B56">
        <f>GROWTH^(A56-1)</f>
        <v/>
      </c>
      <c r="C56">
        <f>KANCHOR*B56</f>
        <v/>
      </c>
      <c r="D56">
        <f>BASEDPS*B56/(1+STATCOEF)*(1+STATCOEF*Inputs!$B$22)*Inputs!$C$22</f>
        <v/>
      </c>
      <c r="E56">
        <f>BASEHP*B56/(1+STATCOEF)*(1+STATCOEF*Inputs!$B$22)*Inputs!$C$22</f>
        <v/>
      </c>
      <c r="F56">
        <f>BASEDEF*B56*Inputs!$C$22</f>
        <v/>
      </c>
      <c r="G56" s="8">
        <f>F56/(F56+C56)</f>
        <v/>
      </c>
      <c r="H56">
        <f>E56/(1-G56)</f>
        <v/>
      </c>
      <c r="I56">
        <f>SQRT(D56*H56)</f>
        <v/>
      </c>
      <c r="J56">
        <f>D56*PHYSMIX/ATKSPD</f>
        <v/>
      </c>
      <c r="K56">
        <f>D56*(1-PHYSMIX)/CASTRATE</f>
        <v/>
      </c>
      <c r="L56">
        <f>MIN(MSPDBASE*(1+STATCOEF*Inputs!$B$22),MSPDCAP)</f>
        <v/>
      </c>
      <c r="M56">
        <f>SQRT((BASEDPS*B56/(1+STATCOEF)*(1+STATCOEF*Inputs!$B$23)*Inputs!$C$23)*(BASEHP*B56/(1+STATCOEF)*(1+STATCOEF*Inputs!$B$23)*Inputs!$C$23)/(1-(BASEDEF*B56*Inputs!$C$23)/((BASEDEF*B56*Inputs!$C$23)+C56)))</f>
        <v/>
      </c>
      <c r="N56">
        <f>SQRT((BASEDPS*B56/(1+STATCOEF)*(1+STATCOEF*Inputs!$B$24)*Inputs!$C$24)*(BASEHP*B56/(1+STATCOEF)*(1+STATCOEF*Inputs!$B$24)*Inputs!$C$24)/(1-(BASEDEF*B56*Inputs!$C$24)/((BASEDEF*B56*Inputs!$C$24)+C56)))</f>
        <v/>
      </c>
      <c r="O56" s="9">
        <f>1-SQRT((BASEDPS*B56/(1+STATCOEF))*(BASEHP*B56/(1+STATCOEF))/(1-F56/(F56+C56)))/I56</f>
        <v/>
      </c>
    </row>
    <row r="57">
      <c r="A57" t="n">
        <v>56</v>
      </c>
      <c r="B57">
        <f>GROWTH^(A57-1)</f>
        <v/>
      </c>
      <c r="C57">
        <f>KANCHOR*B57</f>
        <v/>
      </c>
      <c r="D57">
        <f>BASEDPS*B57/(1+STATCOEF)*(1+STATCOEF*Inputs!$B$22)*Inputs!$C$22</f>
        <v/>
      </c>
      <c r="E57">
        <f>BASEHP*B57/(1+STATCOEF)*(1+STATCOEF*Inputs!$B$22)*Inputs!$C$22</f>
        <v/>
      </c>
      <c r="F57">
        <f>BASEDEF*B57*Inputs!$C$22</f>
        <v/>
      </c>
      <c r="G57" s="8">
        <f>F57/(F57+C57)</f>
        <v/>
      </c>
      <c r="H57">
        <f>E57/(1-G57)</f>
        <v/>
      </c>
      <c r="I57">
        <f>SQRT(D57*H57)</f>
        <v/>
      </c>
      <c r="J57">
        <f>D57*PHYSMIX/ATKSPD</f>
        <v/>
      </c>
      <c r="K57">
        <f>D57*(1-PHYSMIX)/CASTRATE</f>
        <v/>
      </c>
      <c r="L57">
        <f>MIN(MSPDBASE*(1+STATCOEF*Inputs!$B$22),MSPDCAP)</f>
        <v/>
      </c>
      <c r="M57">
        <f>SQRT((BASEDPS*B57/(1+STATCOEF)*(1+STATCOEF*Inputs!$B$23)*Inputs!$C$23)*(BASEHP*B57/(1+STATCOEF)*(1+STATCOEF*Inputs!$B$23)*Inputs!$C$23)/(1-(BASEDEF*B57*Inputs!$C$23)/((BASEDEF*B57*Inputs!$C$23)+C57)))</f>
        <v/>
      </c>
      <c r="N57">
        <f>SQRT((BASEDPS*B57/(1+STATCOEF)*(1+STATCOEF*Inputs!$B$24)*Inputs!$C$24)*(BASEHP*B57/(1+STATCOEF)*(1+STATCOEF*Inputs!$B$24)*Inputs!$C$24)/(1-(BASEDEF*B57*Inputs!$C$24)/((BASEDEF*B57*Inputs!$C$24)+C57)))</f>
        <v/>
      </c>
      <c r="O57" s="9">
        <f>1-SQRT((BASEDPS*B57/(1+STATCOEF))*(BASEHP*B57/(1+STATCOEF))/(1-F57/(F57+C57)))/I57</f>
        <v/>
      </c>
    </row>
    <row r="58">
      <c r="A58" t="n">
        <v>57</v>
      </c>
      <c r="B58">
        <f>GROWTH^(A58-1)</f>
        <v/>
      </c>
      <c r="C58">
        <f>KANCHOR*B58</f>
        <v/>
      </c>
      <c r="D58">
        <f>BASEDPS*B58/(1+STATCOEF)*(1+STATCOEF*Inputs!$B$22)*Inputs!$C$22</f>
        <v/>
      </c>
      <c r="E58">
        <f>BASEHP*B58/(1+STATCOEF)*(1+STATCOEF*Inputs!$B$22)*Inputs!$C$22</f>
        <v/>
      </c>
      <c r="F58">
        <f>BASEDEF*B58*Inputs!$C$22</f>
        <v/>
      </c>
      <c r="G58" s="8">
        <f>F58/(F58+C58)</f>
        <v/>
      </c>
      <c r="H58">
        <f>E58/(1-G58)</f>
        <v/>
      </c>
      <c r="I58">
        <f>SQRT(D58*H58)</f>
        <v/>
      </c>
      <c r="J58">
        <f>D58*PHYSMIX/ATKSPD</f>
        <v/>
      </c>
      <c r="K58">
        <f>D58*(1-PHYSMIX)/CASTRATE</f>
        <v/>
      </c>
      <c r="L58">
        <f>MIN(MSPDBASE*(1+STATCOEF*Inputs!$B$22),MSPDCAP)</f>
        <v/>
      </c>
      <c r="M58">
        <f>SQRT((BASEDPS*B58/(1+STATCOEF)*(1+STATCOEF*Inputs!$B$23)*Inputs!$C$23)*(BASEHP*B58/(1+STATCOEF)*(1+STATCOEF*Inputs!$B$23)*Inputs!$C$23)/(1-(BASEDEF*B58*Inputs!$C$23)/((BASEDEF*B58*Inputs!$C$23)+C58)))</f>
        <v/>
      </c>
      <c r="N58">
        <f>SQRT((BASEDPS*B58/(1+STATCOEF)*(1+STATCOEF*Inputs!$B$24)*Inputs!$C$24)*(BASEHP*B58/(1+STATCOEF)*(1+STATCOEF*Inputs!$B$24)*Inputs!$C$24)/(1-(BASEDEF*B58*Inputs!$C$24)/((BASEDEF*B58*Inputs!$C$24)+C58)))</f>
        <v/>
      </c>
      <c r="O58" s="9">
        <f>1-SQRT((BASEDPS*B58/(1+STATCOEF))*(BASEHP*B58/(1+STATCOEF))/(1-F58/(F58+C58)))/I58</f>
        <v/>
      </c>
    </row>
    <row r="59">
      <c r="A59" t="n">
        <v>58</v>
      </c>
      <c r="B59">
        <f>GROWTH^(A59-1)</f>
        <v/>
      </c>
      <c r="C59">
        <f>KANCHOR*B59</f>
        <v/>
      </c>
      <c r="D59">
        <f>BASEDPS*B59/(1+STATCOEF)*(1+STATCOEF*Inputs!$B$22)*Inputs!$C$22</f>
        <v/>
      </c>
      <c r="E59">
        <f>BASEHP*B59/(1+STATCOEF)*(1+STATCOEF*Inputs!$B$22)*Inputs!$C$22</f>
        <v/>
      </c>
      <c r="F59">
        <f>BASEDEF*B59*Inputs!$C$22</f>
        <v/>
      </c>
      <c r="G59" s="8">
        <f>F59/(F59+C59)</f>
        <v/>
      </c>
      <c r="H59">
        <f>E59/(1-G59)</f>
        <v/>
      </c>
      <c r="I59">
        <f>SQRT(D59*H59)</f>
        <v/>
      </c>
      <c r="J59">
        <f>D59*PHYSMIX/ATKSPD</f>
        <v/>
      </c>
      <c r="K59">
        <f>D59*(1-PHYSMIX)/CASTRATE</f>
        <v/>
      </c>
      <c r="L59">
        <f>MIN(MSPDBASE*(1+STATCOEF*Inputs!$B$22),MSPDCAP)</f>
        <v/>
      </c>
      <c r="M59">
        <f>SQRT((BASEDPS*B59/(1+STATCOEF)*(1+STATCOEF*Inputs!$B$23)*Inputs!$C$23)*(BASEHP*B59/(1+STATCOEF)*(1+STATCOEF*Inputs!$B$23)*Inputs!$C$23)/(1-(BASEDEF*B59*Inputs!$C$23)/((BASEDEF*B59*Inputs!$C$23)+C59)))</f>
        <v/>
      </c>
      <c r="N59">
        <f>SQRT((BASEDPS*B59/(1+STATCOEF)*(1+STATCOEF*Inputs!$B$24)*Inputs!$C$24)*(BASEHP*B59/(1+STATCOEF)*(1+STATCOEF*Inputs!$B$24)*Inputs!$C$24)/(1-(BASEDEF*B59*Inputs!$C$24)/((BASEDEF*B59*Inputs!$C$24)+C59)))</f>
        <v/>
      </c>
      <c r="O59" s="9">
        <f>1-SQRT((BASEDPS*B59/(1+STATCOEF))*(BASEHP*B59/(1+STATCOEF))/(1-F59/(F59+C59)))/I59</f>
        <v/>
      </c>
    </row>
    <row r="60">
      <c r="A60" t="n">
        <v>59</v>
      </c>
      <c r="B60">
        <f>GROWTH^(A60-1)</f>
        <v/>
      </c>
      <c r="C60">
        <f>KANCHOR*B60</f>
        <v/>
      </c>
      <c r="D60">
        <f>BASEDPS*B60/(1+STATCOEF)*(1+STATCOEF*Inputs!$B$22)*Inputs!$C$22</f>
        <v/>
      </c>
      <c r="E60">
        <f>BASEHP*B60/(1+STATCOEF)*(1+STATCOEF*Inputs!$B$22)*Inputs!$C$22</f>
        <v/>
      </c>
      <c r="F60">
        <f>BASEDEF*B60*Inputs!$C$22</f>
        <v/>
      </c>
      <c r="G60" s="8">
        <f>F60/(F60+C60)</f>
        <v/>
      </c>
      <c r="H60">
        <f>E60/(1-G60)</f>
        <v/>
      </c>
      <c r="I60">
        <f>SQRT(D60*H60)</f>
        <v/>
      </c>
      <c r="J60">
        <f>D60*PHYSMIX/ATKSPD</f>
        <v/>
      </c>
      <c r="K60">
        <f>D60*(1-PHYSMIX)/CASTRATE</f>
        <v/>
      </c>
      <c r="L60">
        <f>MIN(MSPDBASE*(1+STATCOEF*Inputs!$B$22),MSPDCAP)</f>
        <v/>
      </c>
      <c r="M60">
        <f>SQRT((BASEDPS*B60/(1+STATCOEF)*(1+STATCOEF*Inputs!$B$23)*Inputs!$C$23)*(BASEHP*B60/(1+STATCOEF)*(1+STATCOEF*Inputs!$B$23)*Inputs!$C$23)/(1-(BASEDEF*B60*Inputs!$C$23)/((BASEDEF*B60*Inputs!$C$23)+C60)))</f>
        <v/>
      </c>
      <c r="N60">
        <f>SQRT((BASEDPS*B60/(1+STATCOEF)*(1+STATCOEF*Inputs!$B$24)*Inputs!$C$24)*(BASEHP*B60/(1+STATCOEF)*(1+STATCOEF*Inputs!$B$24)*Inputs!$C$24)/(1-(BASEDEF*B60*Inputs!$C$24)/((BASEDEF*B60*Inputs!$C$24)+C60)))</f>
        <v/>
      </c>
      <c r="O60" s="9">
        <f>1-SQRT((BASEDPS*B60/(1+STATCOEF))*(BASEHP*B60/(1+STATCOEF))/(1-F60/(F60+C60)))/I60</f>
        <v/>
      </c>
    </row>
    <row r="61">
      <c r="A61" t="n">
        <v>60</v>
      </c>
      <c r="B61">
        <f>GROWTH^(A61-1)</f>
        <v/>
      </c>
      <c r="C61">
        <f>KANCHOR*B61</f>
        <v/>
      </c>
      <c r="D61">
        <f>BASEDPS*B61/(1+STATCOEF)*(1+STATCOEF*Inputs!$B$22)*Inputs!$C$22</f>
        <v/>
      </c>
      <c r="E61">
        <f>BASEHP*B61/(1+STATCOEF)*(1+STATCOEF*Inputs!$B$22)*Inputs!$C$22</f>
        <v/>
      </c>
      <c r="F61">
        <f>BASEDEF*B61*Inputs!$C$22</f>
        <v/>
      </c>
      <c r="G61" s="8">
        <f>F61/(F61+C61)</f>
        <v/>
      </c>
      <c r="H61">
        <f>E61/(1-G61)</f>
        <v/>
      </c>
      <c r="I61">
        <f>SQRT(D61*H61)</f>
        <v/>
      </c>
      <c r="J61">
        <f>D61*PHYSMIX/ATKSPD</f>
        <v/>
      </c>
      <c r="K61">
        <f>D61*(1-PHYSMIX)/CASTRATE</f>
        <v/>
      </c>
      <c r="L61">
        <f>MIN(MSPDBASE*(1+STATCOEF*Inputs!$B$22),MSPDCAP)</f>
        <v/>
      </c>
      <c r="M61">
        <f>SQRT((BASEDPS*B61/(1+STATCOEF)*(1+STATCOEF*Inputs!$B$23)*Inputs!$C$23)*(BASEHP*B61/(1+STATCOEF)*(1+STATCOEF*Inputs!$B$23)*Inputs!$C$23)/(1-(BASEDEF*B61*Inputs!$C$23)/((BASEDEF*B61*Inputs!$C$23)+C61)))</f>
        <v/>
      </c>
      <c r="N61">
        <f>SQRT((BASEDPS*B61/(1+STATCOEF)*(1+STATCOEF*Inputs!$B$24)*Inputs!$C$24)*(BASEHP*B61/(1+STATCOEF)*(1+STATCOEF*Inputs!$B$24)*Inputs!$C$24)/(1-(BASEDEF*B61*Inputs!$C$24)/((BASEDEF*B61*Inputs!$C$24)+C61)))</f>
        <v/>
      </c>
      <c r="O61" s="9">
        <f>1-SQRT((BASEDPS*B61/(1+STATCOEF))*(BASEHP*B61/(1+STATCOEF))/(1-F61/(F61+C61)))/I61</f>
        <v/>
      </c>
    </row>
    <row r="62">
      <c r="A62" t="n">
        <v>61</v>
      </c>
      <c r="B62">
        <f>GROWTH^(A62-1)</f>
        <v/>
      </c>
      <c r="C62">
        <f>KANCHOR*B62</f>
        <v/>
      </c>
      <c r="D62">
        <f>BASEDPS*B62/(1+STATCOEF)*(1+STATCOEF*Inputs!$B$22)*Inputs!$C$22</f>
        <v/>
      </c>
      <c r="E62">
        <f>BASEHP*B62/(1+STATCOEF)*(1+STATCOEF*Inputs!$B$22)*Inputs!$C$22</f>
        <v/>
      </c>
      <c r="F62">
        <f>BASEDEF*B62*Inputs!$C$22</f>
        <v/>
      </c>
      <c r="G62" s="8">
        <f>F62/(F62+C62)</f>
        <v/>
      </c>
      <c r="H62">
        <f>E62/(1-G62)</f>
        <v/>
      </c>
      <c r="I62">
        <f>SQRT(D62*H62)</f>
        <v/>
      </c>
      <c r="J62">
        <f>D62*PHYSMIX/ATKSPD</f>
        <v/>
      </c>
      <c r="K62">
        <f>D62*(1-PHYSMIX)/CASTRATE</f>
        <v/>
      </c>
      <c r="L62">
        <f>MIN(MSPDBASE*(1+STATCOEF*Inputs!$B$22),MSPDCAP)</f>
        <v/>
      </c>
      <c r="M62">
        <f>SQRT((BASEDPS*B62/(1+STATCOEF)*(1+STATCOEF*Inputs!$B$23)*Inputs!$C$23)*(BASEHP*B62/(1+STATCOEF)*(1+STATCOEF*Inputs!$B$23)*Inputs!$C$23)/(1-(BASEDEF*B62*Inputs!$C$23)/((BASEDEF*B62*Inputs!$C$23)+C62)))</f>
        <v/>
      </c>
      <c r="N62">
        <f>SQRT((BASEDPS*B62/(1+STATCOEF)*(1+STATCOEF*Inputs!$B$24)*Inputs!$C$24)*(BASEHP*B62/(1+STATCOEF)*(1+STATCOEF*Inputs!$B$24)*Inputs!$C$24)/(1-(BASEDEF*B62*Inputs!$C$24)/((BASEDEF*B62*Inputs!$C$24)+C62)))</f>
        <v/>
      </c>
      <c r="O62" s="9">
        <f>1-SQRT((BASEDPS*B62/(1+STATCOEF))*(BASEHP*B62/(1+STATCOEF))/(1-F62/(F62+C62)))/I62</f>
        <v/>
      </c>
    </row>
    <row r="63">
      <c r="A63" t="n">
        <v>62</v>
      </c>
      <c r="B63">
        <f>GROWTH^(A63-1)</f>
        <v/>
      </c>
      <c r="C63">
        <f>KANCHOR*B63</f>
        <v/>
      </c>
      <c r="D63">
        <f>BASEDPS*B63/(1+STATCOEF)*(1+STATCOEF*Inputs!$B$22)*Inputs!$C$22</f>
        <v/>
      </c>
      <c r="E63">
        <f>BASEHP*B63/(1+STATCOEF)*(1+STATCOEF*Inputs!$B$22)*Inputs!$C$22</f>
        <v/>
      </c>
      <c r="F63">
        <f>BASEDEF*B63*Inputs!$C$22</f>
        <v/>
      </c>
      <c r="G63" s="8">
        <f>F63/(F63+C63)</f>
        <v/>
      </c>
      <c r="H63">
        <f>E63/(1-G63)</f>
        <v/>
      </c>
      <c r="I63">
        <f>SQRT(D63*H63)</f>
        <v/>
      </c>
      <c r="J63">
        <f>D63*PHYSMIX/ATKSPD</f>
        <v/>
      </c>
      <c r="K63">
        <f>D63*(1-PHYSMIX)/CASTRATE</f>
        <v/>
      </c>
      <c r="L63">
        <f>MIN(MSPDBASE*(1+STATCOEF*Inputs!$B$22),MSPDCAP)</f>
        <v/>
      </c>
      <c r="M63">
        <f>SQRT((BASEDPS*B63/(1+STATCOEF)*(1+STATCOEF*Inputs!$B$23)*Inputs!$C$23)*(BASEHP*B63/(1+STATCOEF)*(1+STATCOEF*Inputs!$B$23)*Inputs!$C$23)/(1-(BASEDEF*B63*Inputs!$C$23)/((BASEDEF*B63*Inputs!$C$23)+C63)))</f>
        <v/>
      </c>
      <c r="N63">
        <f>SQRT((BASEDPS*B63/(1+STATCOEF)*(1+STATCOEF*Inputs!$B$24)*Inputs!$C$24)*(BASEHP*B63/(1+STATCOEF)*(1+STATCOEF*Inputs!$B$24)*Inputs!$C$24)/(1-(BASEDEF*B63*Inputs!$C$24)/((BASEDEF*B63*Inputs!$C$24)+C63)))</f>
        <v/>
      </c>
      <c r="O63" s="9">
        <f>1-SQRT((BASEDPS*B63/(1+STATCOEF))*(BASEHP*B63/(1+STATCOEF))/(1-F63/(F63+C63)))/I63</f>
        <v/>
      </c>
    </row>
    <row r="64">
      <c r="A64" t="n">
        <v>63</v>
      </c>
      <c r="B64">
        <f>GROWTH^(A64-1)</f>
        <v/>
      </c>
      <c r="C64">
        <f>KANCHOR*B64</f>
        <v/>
      </c>
      <c r="D64">
        <f>BASEDPS*B64/(1+STATCOEF)*(1+STATCOEF*Inputs!$B$22)*Inputs!$C$22</f>
        <v/>
      </c>
      <c r="E64">
        <f>BASEHP*B64/(1+STATCOEF)*(1+STATCOEF*Inputs!$B$22)*Inputs!$C$22</f>
        <v/>
      </c>
      <c r="F64">
        <f>BASEDEF*B64*Inputs!$C$22</f>
        <v/>
      </c>
      <c r="G64" s="8">
        <f>F64/(F64+C64)</f>
        <v/>
      </c>
      <c r="H64">
        <f>E64/(1-G64)</f>
        <v/>
      </c>
      <c r="I64">
        <f>SQRT(D64*H64)</f>
        <v/>
      </c>
      <c r="J64">
        <f>D64*PHYSMIX/ATKSPD</f>
        <v/>
      </c>
      <c r="K64">
        <f>D64*(1-PHYSMIX)/CASTRATE</f>
        <v/>
      </c>
      <c r="L64">
        <f>MIN(MSPDBASE*(1+STATCOEF*Inputs!$B$22),MSPDCAP)</f>
        <v/>
      </c>
      <c r="M64">
        <f>SQRT((BASEDPS*B64/(1+STATCOEF)*(1+STATCOEF*Inputs!$B$23)*Inputs!$C$23)*(BASEHP*B64/(1+STATCOEF)*(1+STATCOEF*Inputs!$B$23)*Inputs!$C$23)/(1-(BASEDEF*B64*Inputs!$C$23)/((BASEDEF*B64*Inputs!$C$23)+C64)))</f>
        <v/>
      </c>
      <c r="N64">
        <f>SQRT((BASEDPS*B64/(1+STATCOEF)*(1+STATCOEF*Inputs!$B$24)*Inputs!$C$24)*(BASEHP*B64/(1+STATCOEF)*(1+STATCOEF*Inputs!$B$24)*Inputs!$C$24)/(1-(BASEDEF*B64*Inputs!$C$24)/((BASEDEF*B64*Inputs!$C$24)+C64)))</f>
        <v/>
      </c>
      <c r="O64" s="9">
        <f>1-SQRT((BASEDPS*B64/(1+STATCOEF))*(BASEHP*B64/(1+STATCOEF))/(1-F64/(F64+C64)))/I64</f>
        <v/>
      </c>
    </row>
    <row r="65">
      <c r="A65" t="n">
        <v>64</v>
      </c>
      <c r="B65">
        <f>GROWTH^(A65-1)</f>
        <v/>
      </c>
      <c r="C65">
        <f>KANCHOR*B65</f>
        <v/>
      </c>
      <c r="D65">
        <f>BASEDPS*B65/(1+STATCOEF)*(1+STATCOEF*Inputs!$B$22)*Inputs!$C$22</f>
        <v/>
      </c>
      <c r="E65">
        <f>BASEHP*B65/(1+STATCOEF)*(1+STATCOEF*Inputs!$B$22)*Inputs!$C$22</f>
        <v/>
      </c>
      <c r="F65">
        <f>BASEDEF*B65*Inputs!$C$22</f>
        <v/>
      </c>
      <c r="G65" s="8">
        <f>F65/(F65+C65)</f>
        <v/>
      </c>
      <c r="H65">
        <f>E65/(1-G65)</f>
        <v/>
      </c>
      <c r="I65">
        <f>SQRT(D65*H65)</f>
        <v/>
      </c>
      <c r="J65">
        <f>D65*PHYSMIX/ATKSPD</f>
        <v/>
      </c>
      <c r="K65">
        <f>D65*(1-PHYSMIX)/CASTRATE</f>
        <v/>
      </c>
      <c r="L65">
        <f>MIN(MSPDBASE*(1+STATCOEF*Inputs!$B$22),MSPDCAP)</f>
        <v/>
      </c>
      <c r="M65">
        <f>SQRT((BASEDPS*B65/(1+STATCOEF)*(1+STATCOEF*Inputs!$B$23)*Inputs!$C$23)*(BASEHP*B65/(1+STATCOEF)*(1+STATCOEF*Inputs!$B$23)*Inputs!$C$23)/(1-(BASEDEF*B65*Inputs!$C$23)/((BASEDEF*B65*Inputs!$C$23)+C65)))</f>
        <v/>
      </c>
      <c r="N65">
        <f>SQRT((BASEDPS*B65/(1+STATCOEF)*(1+STATCOEF*Inputs!$B$24)*Inputs!$C$24)*(BASEHP*B65/(1+STATCOEF)*(1+STATCOEF*Inputs!$B$24)*Inputs!$C$24)/(1-(BASEDEF*B65*Inputs!$C$24)/((BASEDEF*B65*Inputs!$C$24)+C65)))</f>
        <v/>
      </c>
      <c r="O65" s="9">
        <f>1-SQRT((BASEDPS*B65/(1+STATCOEF))*(BASEHP*B65/(1+STATCOEF))/(1-F65/(F65+C65)))/I65</f>
        <v/>
      </c>
    </row>
    <row r="66">
      <c r="A66" t="n">
        <v>65</v>
      </c>
      <c r="B66">
        <f>GROWTH^(A66-1)</f>
        <v/>
      </c>
      <c r="C66">
        <f>KANCHOR*B66</f>
        <v/>
      </c>
      <c r="D66">
        <f>BASEDPS*B66/(1+STATCOEF)*(1+STATCOEF*Inputs!$B$22)*Inputs!$C$22</f>
        <v/>
      </c>
      <c r="E66">
        <f>BASEHP*B66/(1+STATCOEF)*(1+STATCOEF*Inputs!$B$22)*Inputs!$C$22</f>
        <v/>
      </c>
      <c r="F66">
        <f>BASEDEF*B66*Inputs!$C$22</f>
        <v/>
      </c>
      <c r="G66" s="8">
        <f>F66/(F66+C66)</f>
        <v/>
      </c>
      <c r="H66">
        <f>E66/(1-G66)</f>
        <v/>
      </c>
      <c r="I66">
        <f>SQRT(D66*H66)</f>
        <v/>
      </c>
      <c r="J66">
        <f>D66*PHYSMIX/ATKSPD</f>
        <v/>
      </c>
      <c r="K66">
        <f>D66*(1-PHYSMIX)/CASTRATE</f>
        <v/>
      </c>
      <c r="L66">
        <f>MIN(MSPDBASE*(1+STATCOEF*Inputs!$B$22),MSPDCAP)</f>
        <v/>
      </c>
      <c r="M66">
        <f>SQRT((BASEDPS*B66/(1+STATCOEF)*(1+STATCOEF*Inputs!$B$23)*Inputs!$C$23)*(BASEHP*B66/(1+STATCOEF)*(1+STATCOEF*Inputs!$B$23)*Inputs!$C$23)/(1-(BASEDEF*B66*Inputs!$C$23)/((BASEDEF*B66*Inputs!$C$23)+C66)))</f>
        <v/>
      </c>
      <c r="N66">
        <f>SQRT((BASEDPS*B66/(1+STATCOEF)*(1+STATCOEF*Inputs!$B$24)*Inputs!$C$24)*(BASEHP*B66/(1+STATCOEF)*(1+STATCOEF*Inputs!$B$24)*Inputs!$C$24)/(1-(BASEDEF*B66*Inputs!$C$24)/((BASEDEF*B66*Inputs!$C$24)+C66)))</f>
        <v/>
      </c>
      <c r="O66" s="9">
        <f>1-SQRT((BASEDPS*B66/(1+STATCOEF))*(BASEHP*B66/(1+STATCOEF))/(1-F66/(F66+C66)))/I66</f>
        <v/>
      </c>
    </row>
    <row r="67">
      <c r="A67" t="n">
        <v>66</v>
      </c>
      <c r="B67">
        <f>GROWTH^(A67-1)</f>
        <v/>
      </c>
      <c r="C67">
        <f>KANCHOR*B67</f>
        <v/>
      </c>
      <c r="D67">
        <f>BASEDPS*B67/(1+STATCOEF)*(1+STATCOEF*Inputs!$B$22)*Inputs!$C$22</f>
        <v/>
      </c>
      <c r="E67">
        <f>BASEHP*B67/(1+STATCOEF)*(1+STATCOEF*Inputs!$B$22)*Inputs!$C$22</f>
        <v/>
      </c>
      <c r="F67">
        <f>BASEDEF*B67*Inputs!$C$22</f>
        <v/>
      </c>
      <c r="G67" s="8">
        <f>F67/(F67+C67)</f>
        <v/>
      </c>
      <c r="H67">
        <f>E67/(1-G67)</f>
        <v/>
      </c>
      <c r="I67">
        <f>SQRT(D67*H67)</f>
        <v/>
      </c>
      <c r="J67">
        <f>D67*PHYSMIX/ATKSPD</f>
        <v/>
      </c>
      <c r="K67">
        <f>D67*(1-PHYSMIX)/CASTRATE</f>
        <v/>
      </c>
      <c r="L67">
        <f>MIN(MSPDBASE*(1+STATCOEF*Inputs!$B$22),MSPDCAP)</f>
        <v/>
      </c>
      <c r="M67">
        <f>SQRT((BASEDPS*B67/(1+STATCOEF)*(1+STATCOEF*Inputs!$B$23)*Inputs!$C$23)*(BASEHP*B67/(1+STATCOEF)*(1+STATCOEF*Inputs!$B$23)*Inputs!$C$23)/(1-(BASEDEF*B67*Inputs!$C$23)/((BASEDEF*B67*Inputs!$C$23)+C67)))</f>
        <v/>
      </c>
      <c r="N67">
        <f>SQRT((BASEDPS*B67/(1+STATCOEF)*(1+STATCOEF*Inputs!$B$24)*Inputs!$C$24)*(BASEHP*B67/(1+STATCOEF)*(1+STATCOEF*Inputs!$B$24)*Inputs!$C$24)/(1-(BASEDEF*B67*Inputs!$C$24)/((BASEDEF*B67*Inputs!$C$24)+C67)))</f>
        <v/>
      </c>
      <c r="O67" s="9">
        <f>1-SQRT((BASEDPS*B67/(1+STATCOEF))*(BASEHP*B67/(1+STATCOEF))/(1-F67/(F67+C67)))/I67</f>
        <v/>
      </c>
    </row>
    <row r="68">
      <c r="A68" t="n">
        <v>67</v>
      </c>
      <c r="B68">
        <f>GROWTH^(A68-1)</f>
        <v/>
      </c>
      <c r="C68">
        <f>KANCHOR*B68</f>
        <v/>
      </c>
      <c r="D68">
        <f>BASEDPS*B68/(1+STATCOEF)*(1+STATCOEF*Inputs!$B$22)*Inputs!$C$22</f>
        <v/>
      </c>
      <c r="E68">
        <f>BASEHP*B68/(1+STATCOEF)*(1+STATCOEF*Inputs!$B$22)*Inputs!$C$22</f>
        <v/>
      </c>
      <c r="F68">
        <f>BASEDEF*B68*Inputs!$C$22</f>
        <v/>
      </c>
      <c r="G68" s="8">
        <f>F68/(F68+C68)</f>
        <v/>
      </c>
      <c r="H68">
        <f>E68/(1-G68)</f>
        <v/>
      </c>
      <c r="I68">
        <f>SQRT(D68*H68)</f>
        <v/>
      </c>
      <c r="J68">
        <f>D68*PHYSMIX/ATKSPD</f>
        <v/>
      </c>
      <c r="K68">
        <f>D68*(1-PHYSMIX)/CASTRATE</f>
        <v/>
      </c>
      <c r="L68">
        <f>MIN(MSPDBASE*(1+STATCOEF*Inputs!$B$22),MSPDCAP)</f>
        <v/>
      </c>
      <c r="M68">
        <f>SQRT((BASEDPS*B68/(1+STATCOEF)*(1+STATCOEF*Inputs!$B$23)*Inputs!$C$23)*(BASEHP*B68/(1+STATCOEF)*(1+STATCOEF*Inputs!$B$23)*Inputs!$C$23)/(1-(BASEDEF*B68*Inputs!$C$23)/((BASEDEF*B68*Inputs!$C$23)+C68)))</f>
        <v/>
      </c>
      <c r="N68">
        <f>SQRT((BASEDPS*B68/(1+STATCOEF)*(1+STATCOEF*Inputs!$B$24)*Inputs!$C$24)*(BASEHP*B68/(1+STATCOEF)*(1+STATCOEF*Inputs!$B$24)*Inputs!$C$24)/(1-(BASEDEF*B68*Inputs!$C$24)/((BASEDEF*B68*Inputs!$C$24)+C68)))</f>
        <v/>
      </c>
      <c r="O68" s="9">
        <f>1-SQRT((BASEDPS*B68/(1+STATCOEF))*(BASEHP*B68/(1+STATCOEF))/(1-F68/(F68+C68)))/I68</f>
        <v/>
      </c>
    </row>
    <row r="69">
      <c r="A69" t="n">
        <v>68</v>
      </c>
      <c r="B69">
        <f>GROWTH^(A69-1)</f>
        <v/>
      </c>
      <c r="C69">
        <f>KANCHOR*B69</f>
        <v/>
      </c>
      <c r="D69">
        <f>BASEDPS*B69/(1+STATCOEF)*(1+STATCOEF*Inputs!$B$22)*Inputs!$C$22</f>
        <v/>
      </c>
      <c r="E69">
        <f>BASEHP*B69/(1+STATCOEF)*(1+STATCOEF*Inputs!$B$22)*Inputs!$C$22</f>
        <v/>
      </c>
      <c r="F69">
        <f>BASEDEF*B69*Inputs!$C$22</f>
        <v/>
      </c>
      <c r="G69" s="8">
        <f>F69/(F69+C69)</f>
        <v/>
      </c>
      <c r="H69">
        <f>E69/(1-G69)</f>
        <v/>
      </c>
      <c r="I69">
        <f>SQRT(D69*H69)</f>
        <v/>
      </c>
      <c r="J69">
        <f>D69*PHYSMIX/ATKSPD</f>
        <v/>
      </c>
      <c r="K69">
        <f>D69*(1-PHYSMIX)/CASTRATE</f>
        <v/>
      </c>
      <c r="L69">
        <f>MIN(MSPDBASE*(1+STATCOEF*Inputs!$B$22),MSPDCAP)</f>
        <v/>
      </c>
      <c r="M69">
        <f>SQRT((BASEDPS*B69/(1+STATCOEF)*(1+STATCOEF*Inputs!$B$23)*Inputs!$C$23)*(BASEHP*B69/(1+STATCOEF)*(1+STATCOEF*Inputs!$B$23)*Inputs!$C$23)/(1-(BASEDEF*B69*Inputs!$C$23)/((BASEDEF*B69*Inputs!$C$23)+C69)))</f>
        <v/>
      </c>
      <c r="N69">
        <f>SQRT((BASEDPS*B69/(1+STATCOEF)*(1+STATCOEF*Inputs!$B$24)*Inputs!$C$24)*(BASEHP*B69/(1+STATCOEF)*(1+STATCOEF*Inputs!$B$24)*Inputs!$C$24)/(1-(BASEDEF*B69*Inputs!$C$24)/((BASEDEF*B69*Inputs!$C$24)+C69)))</f>
        <v/>
      </c>
      <c r="O69" s="9">
        <f>1-SQRT((BASEDPS*B69/(1+STATCOEF))*(BASEHP*B69/(1+STATCOEF))/(1-F69/(F69+C69)))/I69</f>
        <v/>
      </c>
    </row>
    <row r="70">
      <c r="A70" t="n">
        <v>69</v>
      </c>
      <c r="B70">
        <f>GROWTH^(A70-1)</f>
        <v/>
      </c>
      <c r="C70">
        <f>KANCHOR*B70</f>
        <v/>
      </c>
      <c r="D70">
        <f>BASEDPS*B70/(1+STATCOEF)*(1+STATCOEF*Inputs!$B$22)*Inputs!$C$22</f>
        <v/>
      </c>
      <c r="E70">
        <f>BASEHP*B70/(1+STATCOEF)*(1+STATCOEF*Inputs!$B$22)*Inputs!$C$22</f>
        <v/>
      </c>
      <c r="F70">
        <f>BASEDEF*B70*Inputs!$C$22</f>
        <v/>
      </c>
      <c r="G70" s="8">
        <f>F70/(F70+C70)</f>
        <v/>
      </c>
      <c r="H70">
        <f>E70/(1-G70)</f>
        <v/>
      </c>
      <c r="I70">
        <f>SQRT(D70*H70)</f>
        <v/>
      </c>
      <c r="J70">
        <f>D70*PHYSMIX/ATKSPD</f>
        <v/>
      </c>
      <c r="K70">
        <f>D70*(1-PHYSMIX)/CASTRATE</f>
        <v/>
      </c>
      <c r="L70">
        <f>MIN(MSPDBASE*(1+STATCOEF*Inputs!$B$22),MSPDCAP)</f>
        <v/>
      </c>
      <c r="M70">
        <f>SQRT((BASEDPS*B70/(1+STATCOEF)*(1+STATCOEF*Inputs!$B$23)*Inputs!$C$23)*(BASEHP*B70/(1+STATCOEF)*(1+STATCOEF*Inputs!$B$23)*Inputs!$C$23)/(1-(BASEDEF*B70*Inputs!$C$23)/((BASEDEF*B70*Inputs!$C$23)+C70)))</f>
        <v/>
      </c>
      <c r="N70">
        <f>SQRT((BASEDPS*B70/(1+STATCOEF)*(1+STATCOEF*Inputs!$B$24)*Inputs!$C$24)*(BASEHP*B70/(1+STATCOEF)*(1+STATCOEF*Inputs!$B$24)*Inputs!$C$24)/(1-(BASEDEF*B70*Inputs!$C$24)/((BASEDEF*B70*Inputs!$C$24)+C70)))</f>
        <v/>
      </c>
      <c r="O70" s="9">
        <f>1-SQRT((BASEDPS*B70/(1+STATCOEF))*(BASEHP*B70/(1+STATCOEF))/(1-F70/(F70+C70)))/I70</f>
        <v/>
      </c>
    </row>
    <row r="71">
      <c r="A71" t="n">
        <v>70</v>
      </c>
      <c r="B71">
        <f>GROWTH^(A71-1)</f>
        <v/>
      </c>
      <c r="C71">
        <f>KANCHOR*B71</f>
        <v/>
      </c>
      <c r="D71">
        <f>BASEDPS*B71/(1+STATCOEF)*(1+STATCOEF*Inputs!$B$22)*Inputs!$C$22</f>
        <v/>
      </c>
      <c r="E71">
        <f>BASEHP*B71/(1+STATCOEF)*(1+STATCOEF*Inputs!$B$22)*Inputs!$C$22</f>
        <v/>
      </c>
      <c r="F71">
        <f>BASEDEF*B71*Inputs!$C$22</f>
        <v/>
      </c>
      <c r="G71" s="8">
        <f>F71/(F71+C71)</f>
        <v/>
      </c>
      <c r="H71">
        <f>E71/(1-G71)</f>
        <v/>
      </c>
      <c r="I71">
        <f>SQRT(D71*H71)</f>
        <v/>
      </c>
      <c r="J71">
        <f>D71*PHYSMIX/ATKSPD</f>
        <v/>
      </c>
      <c r="K71">
        <f>D71*(1-PHYSMIX)/CASTRATE</f>
        <v/>
      </c>
      <c r="L71">
        <f>MIN(MSPDBASE*(1+STATCOEF*Inputs!$B$22),MSPDCAP)</f>
        <v/>
      </c>
      <c r="M71">
        <f>SQRT((BASEDPS*B71/(1+STATCOEF)*(1+STATCOEF*Inputs!$B$23)*Inputs!$C$23)*(BASEHP*B71/(1+STATCOEF)*(1+STATCOEF*Inputs!$B$23)*Inputs!$C$23)/(1-(BASEDEF*B71*Inputs!$C$23)/((BASEDEF*B71*Inputs!$C$23)+C71)))</f>
        <v/>
      </c>
      <c r="N71">
        <f>SQRT((BASEDPS*B71/(1+STATCOEF)*(1+STATCOEF*Inputs!$B$24)*Inputs!$C$24)*(BASEHP*B71/(1+STATCOEF)*(1+STATCOEF*Inputs!$B$24)*Inputs!$C$24)/(1-(BASEDEF*B71*Inputs!$C$24)/((BASEDEF*B71*Inputs!$C$24)+C71)))</f>
        <v/>
      </c>
      <c r="O71" s="9">
        <f>1-SQRT((BASEDPS*B71/(1+STATCOEF))*(BASEHP*B71/(1+STATCOEF))/(1-F71/(F71+C71)))/I71</f>
        <v/>
      </c>
    </row>
    <row r="72">
      <c r="A72" t="n">
        <v>71</v>
      </c>
      <c r="B72">
        <f>GROWTH^(A72-1)</f>
        <v/>
      </c>
      <c r="C72">
        <f>KANCHOR*B72</f>
        <v/>
      </c>
      <c r="D72">
        <f>BASEDPS*B72/(1+STATCOEF)*(1+STATCOEF*Inputs!$B$22)*Inputs!$C$22</f>
        <v/>
      </c>
      <c r="E72">
        <f>BASEHP*B72/(1+STATCOEF)*(1+STATCOEF*Inputs!$B$22)*Inputs!$C$22</f>
        <v/>
      </c>
      <c r="F72">
        <f>BASEDEF*B72*Inputs!$C$22</f>
        <v/>
      </c>
      <c r="G72" s="8">
        <f>F72/(F72+C72)</f>
        <v/>
      </c>
      <c r="H72">
        <f>E72/(1-G72)</f>
        <v/>
      </c>
      <c r="I72">
        <f>SQRT(D72*H72)</f>
        <v/>
      </c>
      <c r="J72">
        <f>D72*PHYSMIX/ATKSPD</f>
        <v/>
      </c>
      <c r="K72">
        <f>D72*(1-PHYSMIX)/CASTRATE</f>
        <v/>
      </c>
      <c r="L72">
        <f>MIN(MSPDBASE*(1+STATCOEF*Inputs!$B$22),MSPDCAP)</f>
        <v/>
      </c>
      <c r="M72">
        <f>SQRT((BASEDPS*B72/(1+STATCOEF)*(1+STATCOEF*Inputs!$B$23)*Inputs!$C$23)*(BASEHP*B72/(1+STATCOEF)*(1+STATCOEF*Inputs!$B$23)*Inputs!$C$23)/(1-(BASEDEF*B72*Inputs!$C$23)/((BASEDEF*B72*Inputs!$C$23)+C72)))</f>
        <v/>
      </c>
      <c r="N72">
        <f>SQRT((BASEDPS*B72/(1+STATCOEF)*(1+STATCOEF*Inputs!$B$24)*Inputs!$C$24)*(BASEHP*B72/(1+STATCOEF)*(1+STATCOEF*Inputs!$B$24)*Inputs!$C$24)/(1-(BASEDEF*B72*Inputs!$C$24)/((BASEDEF*B72*Inputs!$C$24)+C72)))</f>
        <v/>
      </c>
      <c r="O72" s="9">
        <f>1-SQRT((BASEDPS*B72/(1+STATCOEF))*(BASEHP*B72/(1+STATCOEF))/(1-F72/(F72+C72)))/I72</f>
        <v/>
      </c>
    </row>
    <row r="73">
      <c r="A73" t="n">
        <v>72</v>
      </c>
      <c r="B73">
        <f>GROWTH^(A73-1)</f>
        <v/>
      </c>
      <c r="C73">
        <f>KANCHOR*B73</f>
        <v/>
      </c>
      <c r="D73">
        <f>BASEDPS*B73/(1+STATCOEF)*(1+STATCOEF*Inputs!$B$22)*Inputs!$C$22</f>
        <v/>
      </c>
      <c r="E73">
        <f>BASEHP*B73/(1+STATCOEF)*(1+STATCOEF*Inputs!$B$22)*Inputs!$C$22</f>
        <v/>
      </c>
      <c r="F73">
        <f>BASEDEF*B73*Inputs!$C$22</f>
        <v/>
      </c>
      <c r="G73" s="8">
        <f>F73/(F73+C73)</f>
        <v/>
      </c>
      <c r="H73">
        <f>E73/(1-G73)</f>
        <v/>
      </c>
      <c r="I73">
        <f>SQRT(D73*H73)</f>
        <v/>
      </c>
      <c r="J73">
        <f>D73*PHYSMIX/ATKSPD</f>
        <v/>
      </c>
      <c r="K73">
        <f>D73*(1-PHYSMIX)/CASTRATE</f>
        <v/>
      </c>
      <c r="L73">
        <f>MIN(MSPDBASE*(1+STATCOEF*Inputs!$B$22),MSPDCAP)</f>
        <v/>
      </c>
      <c r="M73">
        <f>SQRT((BASEDPS*B73/(1+STATCOEF)*(1+STATCOEF*Inputs!$B$23)*Inputs!$C$23)*(BASEHP*B73/(1+STATCOEF)*(1+STATCOEF*Inputs!$B$23)*Inputs!$C$23)/(1-(BASEDEF*B73*Inputs!$C$23)/((BASEDEF*B73*Inputs!$C$23)+C73)))</f>
        <v/>
      </c>
      <c r="N73">
        <f>SQRT((BASEDPS*B73/(1+STATCOEF)*(1+STATCOEF*Inputs!$B$24)*Inputs!$C$24)*(BASEHP*B73/(1+STATCOEF)*(1+STATCOEF*Inputs!$B$24)*Inputs!$C$24)/(1-(BASEDEF*B73*Inputs!$C$24)/((BASEDEF*B73*Inputs!$C$24)+C73)))</f>
        <v/>
      </c>
      <c r="O73" s="9">
        <f>1-SQRT((BASEDPS*B73/(1+STATCOEF))*(BASEHP*B73/(1+STATCOEF))/(1-F73/(F73+C73)))/I73</f>
        <v/>
      </c>
    </row>
    <row r="74">
      <c r="A74" t="n">
        <v>73</v>
      </c>
      <c r="B74">
        <f>GROWTH^(A74-1)</f>
        <v/>
      </c>
      <c r="C74">
        <f>KANCHOR*B74</f>
        <v/>
      </c>
      <c r="D74">
        <f>BASEDPS*B74/(1+STATCOEF)*(1+STATCOEF*Inputs!$B$22)*Inputs!$C$22</f>
        <v/>
      </c>
      <c r="E74">
        <f>BASEHP*B74/(1+STATCOEF)*(1+STATCOEF*Inputs!$B$22)*Inputs!$C$22</f>
        <v/>
      </c>
      <c r="F74">
        <f>BASEDEF*B74*Inputs!$C$22</f>
        <v/>
      </c>
      <c r="G74" s="8">
        <f>F74/(F74+C74)</f>
        <v/>
      </c>
      <c r="H74">
        <f>E74/(1-G74)</f>
        <v/>
      </c>
      <c r="I74">
        <f>SQRT(D74*H74)</f>
        <v/>
      </c>
      <c r="J74">
        <f>D74*PHYSMIX/ATKSPD</f>
        <v/>
      </c>
      <c r="K74">
        <f>D74*(1-PHYSMIX)/CASTRATE</f>
        <v/>
      </c>
      <c r="L74">
        <f>MIN(MSPDBASE*(1+STATCOEF*Inputs!$B$22),MSPDCAP)</f>
        <v/>
      </c>
      <c r="M74">
        <f>SQRT((BASEDPS*B74/(1+STATCOEF)*(1+STATCOEF*Inputs!$B$23)*Inputs!$C$23)*(BASEHP*B74/(1+STATCOEF)*(1+STATCOEF*Inputs!$B$23)*Inputs!$C$23)/(1-(BASEDEF*B74*Inputs!$C$23)/((BASEDEF*B74*Inputs!$C$23)+C74)))</f>
        <v/>
      </c>
      <c r="N74">
        <f>SQRT((BASEDPS*B74/(1+STATCOEF)*(1+STATCOEF*Inputs!$B$24)*Inputs!$C$24)*(BASEHP*B74/(1+STATCOEF)*(1+STATCOEF*Inputs!$B$24)*Inputs!$C$24)/(1-(BASEDEF*B74*Inputs!$C$24)/((BASEDEF*B74*Inputs!$C$24)+C74)))</f>
        <v/>
      </c>
      <c r="O74" s="9">
        <f>1-SQRT((BASEDPS*B74/(1+STATCOEF))*(BASEHP*B74/(1+STATCOEF))/(1-F74/(F74+C74)))/I74</f>
        <v/>
      </c>
    </row>
    <row r="75">
      <c r="A75" t="n">
        <v>74</v>
      </c>
      <c r="B75">
        <f>GROWTH^(A75-1)</f>
        <v/>
      </c>
      <c r="C75">
        <f>KANCHOR*B75</f>
        <v/>
      </c>
      <c r="D75">
        <f>BASEDPS*B75/(1+STATCOEF)*(1+STATCOEF*Inputs!$B$22)*Inputs!$C$22</f>
        <v/>
      </c>
      <c r="E75">
        <f>BASEHP*B75/(1+STATCOEF)*(1+STATCOEF*Inputs!$B$22)*Inputs!$C$22</f>
        <v/>
      </c>
      <c r="F75">
        <f>BASEDEF*B75*Inputs!$C$22</f>
        <v/>
      </c>
      <c r="G75" s="8">
        <f>F75/(F75+C75)</f>
        <v/>
      </c>
      <c r="H75">
        <f>E75/(1-G75)</f>
        <v/>
      </c>
      <c r="I75">
        <f>SQRT(D75*H75)</f>
        <v/>
      </c>
      <c r="J75">
        <f>D75*PHYSMIX/ATKSPD</f>
        <v/>
      </c>
      <c r="K75">
        <f>D75*(1-PHYSMIX)/CASTRATE</f>
        <v/>
      </c>
      <c r="L75">
        <f>MIN(MSPDBASE*(1+STATCOEF*Inputs!$B$22),MSPDCAP)</f>
        <v/>
      </c>
      <c r="M75">
        <f>SQRT((BASEDPS*B75/(1+STATCOEF)*(1+STATCOEF*Inputs!$B$23)*Inputs!$C$23)*(BASEHP*B75/(1+STATCOEF)*(1+STATCOEF*Inputs!$B$23)*Inputs!$C$23)/(1-(BASEDEF*B75*Inputs!$C$23)/((BASEDEF*B75*Inputs!$C$23)+C75)))</f>
        <v/>
      </c>
      <c r="N75">
        <f>SQRT((BASEDPS*B75/(1+STATCOEF)*(1+STATCOEF*Inputs!$B$24)*Inputs!$C$24)*(BASEHP*B75/(1+STATCOEF)*(1+STATCOEF*Inputs!$B$24)*Inputs!$C$24)/(1-(BASEDEF*B75*Inputs!$C$24)/((BASEDEF*B75*Inputs!$C$24)+C75)))</f>
        <v/>
      </c>
      <c r="O75" s="9">
        <f>1-SQRT((BASEDPS*B75/(1+STATCOEF))*(BASEHP*B75/(1+STATCOEF))/(1-F75/(F75+C75)))/I75</f>
        <v/>
      </c>
    </row>
    <row r="76">
      <c r="A76" t="n">
        <v>75</v>
      </c>
      <c r="B76">
        <f>GROWTH^(A76-1)</f>
        <v/>
      </c>
      <c r="C76">
        <f>KANCHOR*B76</f>
        <v/>
      </c>
      <c r="D76">
        <f>BASEDPS*B76/(1+STATCOEF)*(1+STATCOEF*Inputs!$B$22)*Inputs!$C$22</f>
        <v/>
      </c>
      <c r="E76">
        <f>BASEHP*B76/(1+STATCOEF)*(1+STATCOEF*Inputs!$B$22)*Inputs!$C$22</f>
        <v/>
      </c>
      <c r="F76">
        <f>BASEDEF*B76*Inputs!$C$22</f>
        <v/>
      </c>
      <c r="G76" s="8">
        <f>F76/(F76+C76)</f>
        <v/>
      </c>
      <c r="H76">
        <f>E76/(1-G76)</f>
        <v/>
      </c>
      <c r="I76">
        <f>SQRT(D76*H76)</f>
        <v/>
      </c>
      <c r="J76">
        <f>D76*PHYSMIX/ATKSPD</f>
        <v/>
      </c>
      <c r="K76">
        <f>D76*(1-PHYSMIX)/CASTRATE</f>
        <v/>
      </c>
      <c r="L76">
        <f>MIN(MSPDBASE*(1+STATCOEF*Inputs!$B$22),MSPDCAP)</f>
        <v/>
      </c>
      <c r="M76">
        <f>SQRT((BASEDPS*B76/(1+STATCOEF)*(1+STATCOEF*Inputs!$B$23)*Inputs!$C$23)*(BASEHP*B76/(1+STATCOEF)*(1+STATCOEF*Inputs!$B$23)*Inputs!$C$23)/(1-(BASEDEF*B76*Inputs!$C$23)/((BASEDEF*B76*Inputs!$C$23)+C76)))</f>
        <v/>
      </c>
      <c r="N76">
        <f>SQRT((BASEDPS*B76/(1+STATCOEF)*(1+STATCOEF*Inputs!$B$24)*Inputs!$C$24)*(BASEHP*B76/(1+STATCOEF)*(1+STATCOEF*Inputs!$B$24)*Inputs!$C$24)/(1-(BASEDEF*B76*Inputs!$C$24)/((BASEDEF*B76*Inputs!$C$24)+C76)))</f>
        <v/>
      </c>
      <c r="O76" s="9">
        <f>1-SQRT((BASEDPS*B76/(1+STATCOEF))*(BASEHP*B76/(1+STATCOEF))/(1-F76/(F76+C76)))/I76</f>
        <v/>
      </c>
    </row>
    <row r="77">
      <c r="A77" t="n">
        <v>76</v>
      </c>
      <c r="B77">
        <f>GROWTH^(A77-1)</f>
        <v/>
      </c>
      <c r="C77">
        <f>KANCHOR*B77</f>
        <v/>
      </c>
      <c r="D77">
        <f>BASEDPS*B77/(1+STATCOEF)*(1+STATCOEF*Inputs!$B$22)*Inputs!$C$22</f>
        <v/>
      </c>
      <c r="E77">
        <f>BASEHP*B77/(1+STATCOEF)*(1+STATCOEF*Inputs!$B$22)*Inputs!$C$22</f>
        <v/>
      </c>
      <c r="F77">
        <f>BASEDEF*B77*Inputs!$C$22</f>
        <v/>
      </c>
      <c r="G77" s="8">
        <f>F77/(F77+C77)</f>
        <v/>
      </c>
      <c r="H77">
        <f>E77/(1-G77)</f>
        <v/>
      </c>
      <c r="I77">
        <f>SQRT(D77*H77)</f>
        <v/>
      </c>
      <c r="J77">
        <f>D77*PHYSMIX/ATKSPD</f>
        <v/>
      </c>
      <c r="K77">
        <f>D77*(1-PHYSMIX)/CASTRATE</f>
        <v/>
      </c>
      <c r="L77">
        <f>MIN(MSPDBASE*(1+STATCOEF*Inputs!$B$22),MSPDCAP)</f>
        <v/>
      </c>
      <c r="M77">
        <f>SQRT((BASEDPS*B77/(1+STATCOEF)*(1+STATCOEF*Inputs!$B$23)*Inputs!$C$23)*(BASEHP*B77/(1+STATCOEF)*(1+STATCOEF*Inputs!$B$23)*Inputs!$C$23)/(1-(BASEDEF*B77*Inputs!$C$23)/((BASEDEF*B77*Inputs!$C$23)+C77)))</f>
        <v/>
      </c>
      <c r="N77">
        <f>SQRT((BASEDPS*B77/(1+STATCOEF)*(1+STATCOEF*Inputs!$B$24)*Inputs!$C$24)*(BASEHP*B77/(1+STATCOEF)*(1+STATCOEF*Inputs!$B$24)*Inputs!$C$24)/(1-(BASEDEF*B77*Inputs!$C$24)/((BASEDEF*B77*Inputs!$C$24)+C77)))</f>
        <v/>
      </c>
      <c r="O77" s="9">
        <f>1-SQRT((BASEDPS*B77/(1+STATCOEF))*(BASEHP*B77/(1+STATCOEF))/(1-F77/(F77+C77)))/I77</f>
        <v/>
      </c>
    </row>
    <row r="78">
      <c r="A78" t="n">
        <v>77</v>
      </c>
      <c r="B78">
        <f>GROWTH^(A78-1)</f>
        <v/>
      </c>
      <c r="C78">
        <f>KANCHOR*B78</f>
        <v/>
      </c>
      <c r="D78">
        <f>BASEDPS*B78/(1+STATCOEF)*(1+STATCOEF*Inputs!$B$22)*Inputs!$C$22</f>
        <v/>
      </c>
      <c r="E78">
        <f>BASEHP*B78/(1+STATCOEF)*(1+STATCOEF*Inputs!$B$22)*Inputs!$C$22</f>
        <v/>
      </c>
      <c r="F78">
        <f>BASEDEF*B78*Inputs!$C$22</f>
        <v/>
      </c>
      <c r="G78" s="8">
        <f>F78/(F78+C78)</f>
        <v/>
      </c>
      <c r="H78">
        <f>E78/(1-G78)</f>
        <v/>
      </c>
      <c r="I78">
        <f>SQRT(D78*H78)</f>
        <v/>
      </c>
      <c r="J78">
        <f>D78*PHYSMIX/ATKSPD</f>
        <v/>
      </c>
      <c r="K78">
        <f>D78*(1-PHYSMIX)/CASTRATE</f>
        <v/>
      </c>
      <c r="L78">
        <f>MIN(MSPDBASE*(1+STATCOEF*Inputs!$B$22),MSPDCAP)</f>
        <v/>
      </c>
      <c r="M78">
        <f>SQRT((BASEDPS*B78/(1+STATCOEF)*(1+STATCOEF*Inputs!$B$23)*Inputs!$C$23)*(BASEHP*B78/(1+STATCOEF)*(1+STATCOEF*Inputs!$B$23)*Inputs!$C$23)/(1-(BASEDEF*B78*Inputs!$C$23)/((BASEDEF*B78*Inputs!$C$23)+C78)))</f>
        <v/>
      </c>
      <c r="N78">
        <f>SQRT((BASEDPS*B78/(1+STATCOEF)*(1+STATCOEF*Inputs!$B$24)*Inputs!$C$24)*(BASEHP*B78/(1+STATCOEF)*(1+STATCOEF*Inputs!$B$24)*Inputs!$C$24)/(1-(BASEDEF*B78*Inputs!$C$24)/((BASEDEF*B78*Inputs!$C$24)+C78)))</f>
        <v/>
      </c>
      <c r="O78" s="9">
        <f>1-SQRT((BASEDPS*B78/(1+STATCOEF))*(BASEHP*B78/(1+STATCOEF))/(1-F78/(F78+C78)))/I78</f>
        <v/>
      </c>
    </row>
    <row r="79">
      <c r="A79" t="n">
        <v>78</v>
      </c>
      <c r="B79">
        <f>GROWTH^(A79-1)</f>
        <v/>
      </c>
      <c r="C79">
        <f>KANCHOR*B79</f>
        <v/>
      </c>
      <c r="D79">
        <f>BASEDPS*B79/(1+STATCOEF)*(1+STATCOEF*Inputs!$B$22)*Inputs!$C$22</f>
        <v/>
      </c>
      <c r="E79">
        <f>BASEHP*B79/(1+STATCOEF)*(1+STATCOEF*Inputs!$B$22)*Inputs!$C$22</f>
        <v/>
      </c>
      <c r="F79">
        <f>BASEDEF*B79*Inputs!$C$22</f>
        <v/>
      </c>
      <c r="G79" s="8">
        <f>F79/(F79+C79)</f>
        <v/>
      </c>
      <c r="H79">
        <f>E79/(1-G79)</f>
        <v/>
      </c>
      <c r="I79">
        <f>SQRT(D79*H79)</f>
        <v/>
      </c>
      <c r="J79">
        <f>D79*PHYSMIX/ATKSPD</f>
        <v/>
      </c>
      <c r="K79">
        <f>D79*(1-PHYSMIX)/CASTRATE</f>
        <v/>
      </c>
      <c r="L79">
        <f>MIN(MSPDBASE*(1+STATCOEF*Inputs!$B$22),MSPDCAP)</f>
        <v/>
      </c>
      <c r="M79">
        <f>SQRT((BASEDPS*B79/(1+STATCOEF)*(1+STATCOEF*Inputs!$B$23)*Inputs!$C$23)*(BASEHP*B79/(1+STATCOEF)*(1+STATCOEF*Inputs!$B$23)*Inputs!$C$23)/(1-(BASEDEF*B79*Inputs!$C$23)/((BASEDEF*B79*Inputs!$C$23)+C79)))</f>
        <v/>
      </c>
      <c r="N79">
        <f>SQRT((BASEDPS*B79/(1+STATCOEF)*(1+STATCOEF*Inputs!$B$24)*Inputs!$C$24)*(BASEHP*B79/(1+STATCOEF)*(1+STATCOEF*Inputs!$B$24)*Inputs!$C$24)/(1-(BASEDEF*B79*Inputs!$C$24)/((BASEDEF*B79*Inputs!$C$24)+C79)))</f>
        <v/>
      </c>
      <c r="O79" s="9">
        <f>1-SQRT((BASEDPS*B79/(1+STATCOEF))*(BASEHP*B79/(1+STATCOEF))/(1-F79/(F79+C79)))/I79</f>
        <v/>
      </c>
    </row>
    <row r="80">
      <c r="A80" t="n">
        <v>79</v>
      </c>
      <c r="B80">
        <f>GROWTH^(A80-1)</f>
        <v/>
      </c>
      <c r="C80">
        <f>KANCHOR*B80</f>
        <v/>
      </c>
      <c r="D80">
        <f>BASEDPS*B80/(1+STATCOEF)*(1+STATCOEF*Inputs!$B$22)*Inputs!$C$22</f>
        <v/>
      </c>
      <c r="E80">
        <f>BASEHP*B80/(1+STATCOEF)*(1+STATCOEF*Inputs!$B$22)*Inputs!$C$22</f>
        <v/>
      </c>
      <c r="F80">
        <f>BASEDEF*B80*Inputs!$C$22</f>
        <v/>
      </c>
      <c r="G80" s="8">
        <f>F80/(F80+C80)</f>
        <v/>
      </c>
      <c r="H80">
        <f>E80/(1-G80)</f>
        <v/>
      </c>
      <c r="I80">
        <f>SQRT(D80*H80)</f>
        <v/>
      </c>
      <c r="J80">
        <f>D80*PHYSMIX/ATKSPD</f>
        <v/>
      </c>
      <c r="K80">
        <f>D80*(1-PHYSMIX)/CASTRATE</f>
        <v/>
      </c>
      <c r="L80">
        <f>MIN(MSPDBASE*(1+STATCOEF*Inputs!$B$22),MSPDCAP)</f>
        <v/>
      </c>
      <c r="M80">
        <f>SQRT((BASEDPS*B80/(1+STATCOEF)*(1+STATCOEF*Inputs!$B$23)*Inputs!$C$23)*(BASEHP*B80/(1+STATCOEF)*(1+STATCOEF*Inputs!$B$23)*Inputs!$C$23)/(1-(BASEDEF*B80*Inputs!$C$23)/((BASEDEF*B80*Inputs!$C$23)+C80)))</f>
        <v/>
      </c>
      <c r="N80">
        <f>SQRT((BASEDPS*B80/(1+STATCOEF)*(1+STATCOEF*Inputs!$B$24)*Inputs!$C$24)*(BASEHP*B80/(1+STATCOEF)*(1+STATCOEF*Inputs!$B$24)*Inputs!$C$24)/(1-(BASEDEF*B80*Inputs!$C$24)/((BASEDEF*B80*Inputs!$C$24)+C80)))</f>
        <v/>
      </c>
      <c r="O80" s="9">
        <f>1-SQRT((BASEDPS*B80/(1+STATCOEF))*(BASEHP*B80/(1+STATCOEF))/(1-F80/(F80+C80)))/I80</f>
        <v/>
      </c>
    </row>
    <row r="81">
      <c r="A81" t="n">
        <v>80</v>
      </c>
      <c r="B81">
        <f>GROWTH^(A81-1)</f>
        <v/>
      </c>
      <c r="C81">
        <f>KANCHOR*B81</f>
        <v/>
      </c>
      <c r="D81">
        <f>BASEDPS*B81/(1+STATCOEF)*(1+STATCOEF*Inputs!$B$22)*Inputs!$C$22</f>
        <v/>
      </c>
      <c r="E81">
        <f>BASEHP*B81/(1+STATCOEF)*(1+STATCOEF*Inputs!$B$22)*Inputs!$C$22</f>
        <v/>
      </c>
      <c r="F81">
        <f>BASEDEF*B81*Inputs!$C$22</f>
        <v/>
      </c>
      <c r="G81" s="8">
        <f>F81/(F81+C81)</f>
        <v/>
      </c>
      <c r="H81">
        <f>E81/(1-G81)</f>
        <v/>
      </c>
      <c r="I81">
        <f>SQRT(D81*H81)</f>
        <v/>
      </c>
      <c r="J81">
        <f>D81*PHYSMIX/ATKSPD</f>
        <v/>
      </c>
      <c r="K81">
        <f>D81*(1-PHYSMIX)/CASTRATE</f>
        <v/>
      </c>
      <c r="L81">
        <f>MIN(MSPDBASE*(1+STATCOEF*Inputs!$B$22),MSPDCAP)</f>
        <v/>
      </c>
      <c r="M81">
        <f>SQRT((BASEDPS*B81/(1+STATCOEF)*(1+STATCOEF*Inputs!$B$23)*Inputs!$C$23)*(BASEHP*B81/(1+STATCOEF)*(1+STATCOEF*Inputs!$B$23)*Inputs!$C$23)/(1-(BASEDEF*B81*Inputs!$C$23)/((BASEDEF*B81*Inputs!$C$23)+C81)))</f>
        <v/>
      </c>
      <c r="N81">
        <f>SQRT((BASEDPS*B81/(1+STATCOEF)*(1+STATCOEF*Inputs!$B$24)*Inputs!$C$24)*(BASEHP*B81/(1+STATCOEF)*(1+STATCOEF*Inputs!$B$24)*Inputs!$C$24)/(1-(BASEDEF*B81*Inputs!$C$24)/((BASEDEF*B81*Inputs!$C$24)+C81)))</f>
        <v/>
      </c>
      <c r="O81" s="9">
        <f>1-SQRT((BASEDPS*B81/(1+STATCOEF))*(BASEHP*B81/(1+STATCOEF))/(1-F81/(F81+C81)))/I81</f>
        <v/>
      </c>
    </row>
    <row r="82">
      <c r="A82" t="n">
        <v>81</v>
      </c>
      <c r="B82">
        <f>GROWTH^(A82-1)</f>
        <v/>
      </c>
      <c r="C82">
        <f>KANCHOR*B82</f>
        <v/>
      </c>
      <c r="D82">
        <f>BASEDPS*B82/(1+STATCOEF)*(1+STATCOEF*Inputs!$B$22)*Inputs!$C$22</f>
        <v/>
      </c>
      <c r="E82">
        <f>BASEHP*B82/(1+STATCOEF)*(1+STATCOEF*Inputs!$B$22)*Inputs!$C$22</f>
        <v/>
      </c>
      <c r="F82">
        <f>BASEDEF*B82*Inputs!$C$22</f>
        <v/>
      </c>
      <c r="G82" s="8">
        <f>F82/(F82+C82)</f>
        <v/>
      </c>
      <c r="H82">
        <f>E82/(1-G82)</f>
        <v/>
      </c>
      <c r="I82">
        <f>SQRT(D82*H82)</f>
        <v/>
      </c>
      <c r="J82">
        <f>D82*PHYSMIX/ATKSPD</f>
        <v/>
      </c>
      <c r="K82">
        <f>D82*(1-PHYSMIX)/CASTRATE</f>
        <v/>
      </c>
      <c r="L82">
        <f>MIN(MSPDBASE*(1+STATCOEF*Inputs!$B$22),MSPDCAP)</f>
        <v/>
      </c>
      <c r="M82">
        <f>SQRT((BASEDPS*B82/(1+STATCOEF)*(1+STATCOEF*Inputs!$B$23)*Inputs!$C$23)*(BASEHP*B82/(1+STATCOEF)*(1+STATCOEF*Inputs!$B$23)*Inputs!$C$23)/(1-(BASEDEF*B82*Inputs!$C$23)/((BASEDEF*B82*Inputs!$C$23)+C82)))</f>
        <v/>
      </c>
      <c r="N82">
        <f>SQRT((BASEDPS*B82/(1+STATCOEF)*(1+STATCOEF*Inputs!$B$24)*Inputs!$C$24)*(BASEHP*B82/(1+STATCOEF)*(1+STATCOEF*Inputs!$B$24)*Inputs!$C$24)/(1-(BASEDEF*B82*Inputs!$C$24)/((BASEDEF*B82*Inputs!$C$24)+C82)))</f>
        <v/>
      </c>
      <c r="O82" s="9">
        <f>1-SQRT((BASEDPS*B82/(1+STATCOEF))*(BASEHP*B82/(1+STATCOEF))/(1-F82/(F82+C82)))/I82</f>
        <v/>
      </c>
    </row>
    <row r="83">
      <c r="A83" t="n">
        <v>82</v>
      </c>
      <c r="B83">
        <f>GROWTH^(A83-1)</f>
        <v/>
      </c>
      <c r="C83">
        <f>KANCHOR*B83</f>
        <v/>
      </c>
      <c r="D83">
        <f>BASEDPS*B83/(1+STATCOEF)*(1+STATCOEF*Inputs!$B$22)*Inputs!$C$22</f>
        <v/>
      </c>
      <c r="E83">
        <f>BASEHP*B83/(1+STATCOEF)*(1+STATCOEF*Inputs!$B$22)*Inputs!$C$22</f>
        <v/>
      </c>
      <c r="F83">
        <f>BASEDEF*B83*Inputs!$C$22</f>
        <v/>
      </c>
      <c r="G83" s="8">
        <f>F83/(F83+C83)</f>
        <v/>
      </c>
      <c r="H83">
        <f>E83/(1-G83)</f>
        <v/>
      </c>
      <c r="I83">
        <f>SQRT(D83*H83)</f>
        <v/>
      </c>
      <c r="J83">
        <f>D83*PHYSMIX/ATKSPD</f>
        <v/>
      </c>
      <c r="K83">
        <f>D83*(1-PHYSMIX)/CASTRATE</f>
        <v/>
      </c>
      <c r="L83">
        <f>MIN(MSPDBASE*(1+STATCOEF*Inputs!$B$22),MSPDCAP)</f>
        <v/>
      </c>
      <c r="M83">
        <f>SQRT((BASEDPS*B83/(1+STATCOEF)*(1+STATCOEF*Inputs!$B$23)*Inputs!$C$23)*(BASEHP*B83/(1+STATCOEF)*(1+STATCOEF*Inputs!$B$23)*Inputs!$C$23)/(1-(BASEDEF*B83*Inputs!$C$23)/((BASEDEF*B83*Inputs!$C$23)+C83)))</f>
        <v/>
      </c>
      <c r="N83">
        <f>SQRT((BASEDPS*B83/(1+STATCOEF)*(1+STATCOEF*Inputs!$B$24)*Inputs!$C$24)*(BASEHP*B83/(1+STATCOEF)*(1+STATCOEF*Inputs!$B$24)*Inputs!$C$24)/(1-(BASEDEF*B83*Inputs!$C$24)/((BASEDEF*B83*Inputs!$C$24)+C83)))</f>
        <v/>
      </c>
      <c r="O83" s="9">
        <f>1-SQRT((BASEDPS*B83/(1+STATCOEF))*(BASEHP*B83/(1+STATCOEF))/(1-F83/(F83+C83)))/I83</f>
        <v/>
      </c>
    </row>
    <row r="84">
      <c r="A84" t="n">
        <v>83</v>
      </c>
      <c r="B84">
        <f>GROWTH^(A84-1)</f>
        <v/>
      </c>
      <c r="C84">
        <f>KANCHOR*B84</f>
        <v/>
      </c>
      <c r="D84">
        <f>BASEDPS*B84/(1+STATCOEF)*(1+STATCOEF*Inputs!$B$22)*Inputs!$C$22</f>
        <v/>
      </c>
      <c r="E84">
        <f>BASEHP*B84/(1+STATCOEF)*(1+STATCOEF*Inputs!$B$22)*Inputs!$C$22</f>
        <v/>
      </c>
      <c r="F84">
        <f>BASEDEF*B84*Inputs!$C$22</f>
        <v/>
      </c>
      <c r="G84" s="8">
        <f>F84/(F84+C84)</f>
        <v/>
      </c>
      <c r="H84">
        <f>E84/(1-G84)</f>
        <v/>
      </c>
      <c r="I84">
        <f>SQRT(D84*H84)</f>
        <v/>
      </c>
      <c r="J84">
        <f>D84*PHYSMIX/ATKSPD</f>
        <v/>
      </c>
      <c r="K84">
        <f>D84*(1-PHYSMIX)/CASTRATE</f>
        <v/>
      </c>
      <c r="L84">
        <f>MIN(MSPDBASE*(1+STATCOEF*Inputs!$B$22),MSPDCAP)</f>
        <v/>
      </c>
      <c r="M84">
        <f>SQRT((BASEDPS*B84/(1+STATCOEF)*(1+STATCOEF*Inputs!$B$23)*Inputs!$C$23)*(BASEHP*B84/(1+STATCOEF)*(1+STATCOEF*Inputs!$B$23)*Inputs!$C$23)/(1-(BASEDEF*B84*Inputs!$C$23)/((BASEDEF*B84*Inputs!$C$23)+C84)))</f>
        <v/>
      </c>
      <c r="N84">
        <f>SQRT((BASEDPS*B84/(1+STATCOEF)*(1+STATCOEF*Inputs!$B$24)*Inputs!$C$24)*(BASEHP*B84/(1+STATCOEF)*(1+STATCOEF*Inputs!$B$24)*Inputs!$C$24)/(1-(BASEDEF*B84*Inputs!$C$24)/((BASEDEF*B84*Inputs!$C$24)+C84)))</f>
        <v/>
      </c>
      <c r="O84" s="9">
        <f>1-SQRT((BASEDPS*B84/(1+STATCOEF))*(BASEHP*B84/(1+STATCOEF))/(1-F84/(F84+C84)))/I84</f>
        <v/>
      </c>
    </row>
    <row r="85">
      <c r="A85" t="n">
        <v>84</v>
      </c>
      <c r="B85">
        <f>GROWTH^(A85-1)</f>
        <v/>
      </c>
      <c r="C85">
        <f>KANCHOR*B85</f>
        <v/>
      </c>
      <c r="D85">
        <f>BASEDPS*B85/(1+STATCOEF)*(1+STATCOEF*Inputs!$B$22)*Inputs!$C$22</f>
        <v/>
      </c>
      <c r="E85">
        <f>BASEHP*B85/(1+STATCOEF)*(1+STATCOEF*Inputs!$B$22)*Inputs!$C$22</f>
        <v/>
      </c>
      <c r="F85">
        <f>BASEDEF*B85*Inputs!$C$22</f>
        <v/>
      </c>
      <c r="G85" s="8">
        <f>F85/(F85+C85)</f>
        <v/>
      </c>
      <c r="H85">
        <f>E85/(1-G85)</f>
        <v/>
      </c>
      <c r="I85">
        <f>SQRT(D85*H85)</f>
        <v/>
      </c>
      <c r="J85">
        <f>D85*PHYSMIX/ATKSPD</f>
        <v/>
      </c>
      <c r="K85">
        <f>D85*(1-PHYSMIX)/CASTRATE</f>
        <v/>
      </c>
      <c r="L85">
        <f>MIN(MSPDBASE*(1+STATCOEF*Inputs!$B$22),MSPDCAP)</f>
        <v/>
      </c>
      <c r="M85">
        <f>SQRT((BASEDPS*B85/(1+STATCOEF)*(1+STATCOEF*Inputs!$B$23)*Inputs!$C$23)*(BASEHP*B85/(1+STATCOEF)*(1+STATCOEF*Inputs!$B$23)*Inputs!$C$23)/(1-(BASEDEF*B85*Inputs!$C$23)/((BASEDEF*B85*Inputs!$C$23)+C85)))</f>
        <v/>
      </c>
      <c r="N85">
        <f>SQRT((BASEDPS*B85/(1+STATCOEF)*(1+STATCOEF*Inputs!$B$24)*Inputs!$C$24)*(BASEHP*B85/(1+STATCOEF)*(1+STATCOEF*Inputs!$B$24)*Inputs!$C$24)/(1-(BASEDEF*B85*Inputs!$C$24)/((BASEDEF*B85*Inputs!$C$24)+C85)))</f>
        <v/>
      </c>
      <c r="O85" s="9">
        <f>1-SQRT((BASEDPS*B85/(1+STATCOEF))*(BASEHP*B85/(1+STATCOEF))/(1-F85/(F85+C85)))/I85</f>
        <v/>
      </c>
    </row>
    <row r="86">
      <c r="A86" t="n">
        <v>85</v>
      </c>
      <c r="B86">
        <f>GROWTH^(A86-1)</f>
        <v/>
      </c>
      <c r="C86">
        <f>KANCHOR*B86</f>
        <v/>
      </c>
      <c r="D86">
        <f>BASEDPS*B86/(1+STATCOEF)*(1+STATCOEF*Inputs!$B$22)*Inputs!$C$22</f>
        <v/>
      </c>
      <c r="E86">
        <f>BASEHP*B86/(1+STATCOEF)*(1+STATCOEF*Inputs!$B$22)*Inputs!$C$22</f>
        <v/>
      </c>
      <c r="F86">
        <f>BASEDEF*B86*Inputs!$C$22</f>
        <v/>
      </c>
      <c r="G86" s="8">
        <f>F86/(F86+C86)</f>
        <v/>
      </c>
      <c r="H86">
        <f>E86/(1-G86)</f>
        <v/>
      </c>
      <c r="I86">
        <f>SQRT(D86*H86)</f>
        <v/>
      </c>
      <c r="J86">
        <f>D86*PHYSMIX/ATKSPD</f>
        <v/>
      </c>
      <c r="K86">
        <f>D86*(1-PHYSMIX)/CASTRATE</f>
        <v/>
      </c>
      <c r="L86">
        <f>MIN(MSPDBASE*(1+STATCOEF*Inputs!$B$22),MSPDCAP)</f>
        <v/>
      </c>
      <c r="M86">
        <f>SQRT((BASEDPS*B86/(1+STATCOEF)*(1+STATCOEF*Inputs!$B$23)*Inputs!$C$23)*(BASEHP*B86/(1+STATCOEF)*(1+STATCOEF*Inputs!$B$23)*Inputs!$C$23)/(1-(BASEDEF*B86*Inputs!$C$23)/((BASEDEF*B86*Inputs!$C$23)+C86)))</f>
        <v/>
      </c>
      <c r="N86">
        <f>SQRT((BASEDPS*B86/(1+STATCOEF)*(1+STATCOEF*Inputs!$B$24)*Inputs!$C$24)*(BASEHP*B86/(1+STATCOEF)*(1+STATCOEF*Inputs!$B$24)*Inputs!$C$24)/(1-(BASEDEF*B86*Inputs!$C$24)/((BASEDEF*B86*Inputs!$C$24)+C86)))</f>
        <v/>
      </c>
      <c r="O86" s="9">
        <f>1-SQRT((BASEDPS*B86/(1+STATCOEF))*(BASEHP*B86/(1+STATCOEF))/(1-F86/(F86+C86)))/I86</f>
        <v/>
      </c>
    </row>
    <row r="87">
      <c r="A87" t="n">
        <v>86</v>
      </c>
      <c r="B87">
        <f>GROWTH^(A87-1)</f>
        <v/>
      </c>
      <c r="C87">
        <f>KANCHOR*B87</f>
        <v/>
      </c>
      <c r="D87">
        <f>BASEDPS*B87/(1+STATCOEF)*(1+STATCOEF*Inputs!$B$22)*Inputs!$C$22</f>
        <v/>
      </c>
      <c r="E87">
        <f>BASEHP*B87/(1+STATCOEF)*(1+STATCOEF*Inputs!$B$22)*Inputs!$C$22</f>
        <v/>
      </c>
      <c r="F87">
        <f>BASEDEF*B87*Inputs!$C$22</f>
        <v/>
      </c>
      <c r="G87" s="8">
        <f>F87/(F87+C87)</f>
        <v/>
      </c>
      <c r="H87">
        <f>E87/(1-G87)</f>
        <v/>
      </c>
      <c r="I87">
        <f>SQRT(D87*H87)</f>
        <v/>
      </c>
      <c r="J87">
        <f>D87*PHYSMIX/ATKSPD</f>
        <v/>
      </c>
      <c r="K87">
        <f>D87*(1-PHYSMIX)/CASTRATE</f>
        <v/>
      </c>
      <c r="L87">
        <f>MIN(MSPDBASE*(1+STATCOEF*Inputs!$B$22),MSPDCAP)</f>
        <v/>
      </c>
      <c r="M87">
        <f>SQRT((BASEDPS*B87/(1+STATCOEF)*(1+STATCOEF*Inputs!$B$23)*Inputs!$C$23)*(BASEHP*B87/(1+STATCOEF)*(1+STATCOEF*Inputs!$B$23)*Inputs!$C$23)/(1-(BASEDEF*B87*Inputs!$C$23)/((BASEDEF*B87*Inputs!$C$23)+C87)))</f>
        <v/>
      </c>
      <c r="N87">
        <f>SQRT((BASEDPS*B87/(1+STATCOEF)*(1+STATCOEF*Inputs!$B$24)*Inputs!$C$24)*(BASEHP*B87/(1+STATCOEF)*(1+STATCOEF*Inputs!$B$24)*Inputs!$C$24)/(1-(BASEDEF*B87*Inputs!$C$24)/((BASEDEF*B87*Inputs!$C$24)+C87)))</f>
        <v/>
      </c>
      <c r="O87" s="9">
        <f>1-SQRT((BASEDPS*B87/(1+STATCOEF))*(BASEHP*B87/(1+STATCOEF))/(1-F87/(F87+C87)))/I87</f>
        <v/>
      </c>
    </row>
    <row r="88">
      <c r="A88" t="n">
        <v>87</v>
      </c>
      <c r="B88">
        <f>GROWTH^(A88-1)</f>
        <v/>
      </c>
      <c r="C88">
        <f>KANCHOR*B88</f>
        <v/>
      </c>
      <c r="D88">
        <f>BASEDPS*B88/(1+STATCOEF)*(1+STATCOEF*Inputs!$B$22)*Inputs!$C$22</f>
        <v/>
      </c>
      <c r="E88">
        <f>BASEHP*B88/(1+STATCOEF)*(1+STATCOEF*Inputs!$B$22)*Inputs!$C$22</f>
        <v/>
      </c>
      <c r="F88">
        <f>BASEDEF*B88*Inputs!$C$22</f>
        <v/>
      </c>
      <c r="G88" s="8">
        <f>F88/(F88+C88)</f>
        <v/>
      </c>
      <c r="H88">
        <f>E88/(1-G88)</f>
        <v/>
      </c>
      <c r="I88">
        <f>SQRT(D88*H88)</f>
        <v/>
      </c>
      <c r="J88">
        <f>D88*PHYSMIX/ATKSPD</f>
        <v/>
      </c>
      <c r="K88">
        <f>D88*(1-PHYSMIX)/CASTRATE</f>
        <v/>
      </c>
      <c r="L88">
        <f>MIN(MSPDBASE*(1+STATCOEF*Inputs!$B$22),MSPDCAP)</f>
        <v/>
      </c>
      <c r="M88">
        <f>SQRT((BASEDPS*B88/(1+STATCOEF)*(1+STATCOEF*Inputs!$B$23)*Inputs!$C$23)*(BASEHP*B88/(1+STATCOEF)*(1+STATCOEF*Inputs!$B$23)*Inputs!$C$23)/(1-(BASEDEF*B88*Inputs!$C$23)/((BASEDEF*B88*Inputs!$C$23)+C88)))</f>
        <v/>
      </c>
      <c r="N88">
        <f>SQRT((BASEDPS*B88/(1+STATCOEF)*(1+STATCOEF*Inputs!$B$24)*Inputs!$C$24)*(BASEHP*B88/(1+STATCOEF)*(1+STATCOEF*Inputs!$B$24)*Inputs!$C$24)/(1-(BASEDEF*B88*Inputs!$C$24)/((BASEDEF*B88*Inputs!$C$24)+C88)))</f>
        <v/>
      </c>
      <c r="O88" s="9">
        <f>1-SQRT((BASEDPS*B88/(1+STATCOEF))*(BASEHP*B88/(1+STATCOEF))/(1-F88/(F88+C88)))/I88</f>
        <v/>
      </c>
    </row>
    <row r="89">
      <c r="A89" t="n">
        <v>88</v>
      </c>
      <c r="B89">
        <f>GROWTH^(A89-1)</f>
        <v/>
      </c>
      <c r="C89">
        <f>KANCHOR*B89</f>
        <v/>
      </c>
      <c r="D89">
        <f>BASEDPS*B89/(1+STATCOEF)*(1+STATCOEF*Inputs!$B$22)*Inputs!$C$22</f>
        <v/>
      </c>
      <c r="E89">
        <f>BASEHP*B89/(1+STATCOEF)*(1+STATCOEF*Inputs!$B$22)*Inputs!$C$22</f>
        <v/>
      </c>
      <c r="F89">
        <f>BASEDEF*B89*Inputs!$C$22</f>
        <v/>
      </c>
      <c r="G89" s="8">
        <f>F89/(F89+C89)</f>
        <v/>
      </c>
      <c r="H89">
        <f>E89/(1-G89)</f>
        <v/>
      </c>
      <c r="I89">
        <f>SQRT(D89*H89)</f>
        <v/>
      </c>
      <c r="J89">
        <f>D89*PHYSMIX/ATKSPD</f>
        <v/>
      </c>
      <c r="K89">
        <f>D89*(1-PHYSMIX)/CASTRATE</f>
        <v/>
      </c>
      <c r="L89">
        <f>MIN(MSPDBASE*(1+STATCOEF*Inputs!$B$22),MSPDCAP)</f>
        <v/>
      </c>
      <c r="M89">
        <f>SQRT((BASEDPS*B89/(1+STATCOEF)*(1+STATCOEF*Inputs!$B$23)*Inputs!$C$23)*(BASEHP*B89/(1+STATCOEF)*(1+STATCOEF*Inputs!$B$23)*Inputs!$C$23)/(1-(BASEDEF*B89*Inputs!$C$23)/((BASEDEF*B89*Inputs!$C$23)+C89)))</f>
        <v/>
      </c>
      <c r="N89">
        <f>SQRT((BASEDPS*B89/(1+STATCOEF)*(1+STATCOEF*Inputs!$B$24)*Inputs!$C$24)*(BASEHP*B89/(1+STATCOEF)*(1+STATCOEF*Inputs!$B$24)*Inputs!$C$24)/(1-(BASEDEF*B89*Inputs!$C$24)/((BASEDEF*B89*Inputs!$C$24)+C89)))</f>
        <v/>
      </c>
      <c r="O89" s="9">
        <f>1-SQRT((BASEDPS*B89/(1+STATCOEF))*(BASEHP*B89/(1+STATCOEF))/(1-F89/(F89+C89)))/I89</f>
        <v/>
      </c>
    </row>
    <row r="90">
      <c r="A90" t="n">
        <v>89</v>
      </c>
      <c r="B90">
        <f>GROWTH^(A90-1)</f>
        <v/>
      </c>
      <c r="C90">
        <f>KANCHOR*B90</f>
        <v/>
      </c>
      <c r="D90">
        <f>BASEDPS*B90/(1+STATCOEF)*(1+STATCOEF*Inputs!$B$22)*Inputs!$C$22</f>
        <v/>
      </c>
      <c r="E90">
        <f>BASEHP*B90/(1+STATCOEF)*(1+STATCOEF*Inputs!$B$22)*Inputs!$C$22</f>
        <v/>
      </c>
      <c r="F90">
        <f>BASEDEF*B90*Inputs!$C$22</f>
        <v/>
      </c>
      <c r="G90" s="8">
        <f>F90/(F90+C90)</f>
        <v/>
      </c>
      <c r="H90">
        <f>E90/(1-G90)</f>
        <v/>
      </c>
      <c r="I90">
        <f>SQRT(D90*H90)</f>
        <v/>
      </c>
      <c r="J90">
        <f>D90*PHYSMIX/ATKSPD</f>
        <v/>
      </c>
      <c r="K90">
        <f>D90*(1-PHYSMIX)/CASTRATE</f>
        <v/>
      </c>
      <c r="L90">
        <f>MIN(MSPDBASE*(1+STATCOEF*Inputs!$B$22),MSPDCAP)</f>
        <v/>
      </c>
      <c r="M90">
        <f>SQRT((BASEDPS*B90/(1+STATCOEF)*(1+STATCOEF*Inputs!$B$23)*Inputs!$C$23)*(BASEHP*B90/(1+STATCOEF)*(1+STATCOEF*Inputs!$B$23)*Inputs!$C$23)/(1-(BASEDEF*B90*Inputs!$C$23)/((BASEDEF*B90*Inputs!$C$23)+C90)))</f>
        <v/>
      </c>
      <c r="N90">
        <f>SQRT((BASEDPS*B90/(1+STATCOEF)*(1+STATCOEF*Inputs!$B$24)*Inputs!$C$24)*(BASEHP*B90/(1+STATCOEF)*(1+STATCOEF*Inputs!$B$24)*Inputs!$C$24)/(1-(BASEDEF*B90*Inputs!$C$24)/((BASEDEF*B90*Inputs!$C$24)+C90)))</f>
        <v/>
      </c>
      <c r="O90" s="9">
        <f>1-SQRT((BASEDPS*B90/(1+STATCOEF))*(BASEHP*B90/(1+STATCOEF))/(1-F90/(F90+C90)))/I90</f>
        <v/>
      </c>
    </row>
    <row r="91">
      <c r="A91" t="n">
        <v>90</v>
      </c>
      <c r="B91">
        <f>GROWTH^(A91-1)</f>
        <v/>
      </c>
      <c r="C91">
        <f>KANCHOR*B91</f>
        <v/>
      </c>
      <c r="D91">
        <f>BASEDPS*B91/(1+STATCOEF)*(1+STATCOEF*Inputs!$B$22)*Inputs!$C$22</f>
        <v/>
      </c>
      <c r="E91">
        <f>BASEHP*B91/(1+STATCOEF)*(1+STATCOEF*Inputs!$B$22)*Inputs!$C$22</f>
        <v/>
      </c>
      <c r="F91">
        <f>BASEDEF*B91*Inputs!$C$22</f>
        <v/>
      </c>
      <c r="G91" s="8">
        <f>F91/(F91+C91)</f>
        <v/>
      </c>
      <c r="H91">
        <f>E91/(1-G91)</f>
        <v/>
      </c>
      <c r="I91">
        <f>SQRT(D91*H91)</f>
        <v/>
      </c>
      <c r="J91">
        <f>D91*PHYSMIX/ATKSPD</f>
        <v/>
      </c>
      <c r="K91">
        <f>D91*(1-PHYSMIX)/CASTRATE</f>
        <v/>
      </c>
      <c r="L91">
        <f>MIN(MSPDBASE*(1+STATCOEF*Inputs!$B$22),MSPDCAP)</f>
        <v/>
      </c>
      <c r="M91">
        <f>SQRT((BASEDPS*B91/(1+STATCOEF)*(1+STATCOEF*Inputs!$B$23)*Inputs!$C$23)*(BASEHP*B91/(1+STATCOEF)*(1+STATCOEF*Inputs!$B$23)*Inputs!$C$23)/(1-(BASEDEF*B91*Inputs!$C$23)/((BASEDEF*B91*Inputs!$C$23)+C91)))</f>
        <v/>
      </c>
      <c r="N91">
        <f>SQRT((BASEDPS*B91/(1+STATCOEF)*(1+STATCOEF*Inputs!$B$24)*Inputs!$C$24)*(BASEHP*B91/(1+STATCOEF)*(1+STATCOEF*Inputs!$B$24)*Inputs!$C$24)/(1-(BASEDEF*B91*Inputs!$C$24)/((BASEDEF*B91*Inputs!$C$24)+C91)))</f>
        <v/>
      </c>
      <c r="O91" s="9">
        <f>1-SQRT((BASEDPS*B91/(1+STATCOEF))*(BASEHP*B91/(1+STATCOEF))/(1-F91/(F91+C91)))/I91</f>
        <v/>
      </c>
    </row>
    <row r="92">
      <c r="A92" t="n">
        <v>91</v>
      </c>
      <c r="B92">
        <f>GROWTH^(A92-1)</f>
        <v/>
      </c>
      <c r="C92">
        <f>KANCHOR*B92</f>
        <v/>
      </c>
      <c r="D92">
        <f>BASEDPS*B92/(1+STATCOEF)*(1+STATCOEF*Inputs!$B$22)*Inputs!$C$22</f>
        <v/>
      </c>
      <c r="E92">
        <f>BASEHP*B92/(1+STATCOEF)*(1+STATCOEF*Inputs!$B$22)*Inputs!$C$22</f>
        <v/>
      </c>
      <c r="F92">
        <f>BASEDEF*B92*Inputs!$C$22</f>
        <v/>
      </c>
      <c r="G92" s="8">
        <f>F92/(F92+C92)</f>
        <v/>
      </c>
      <c r="H92">
        <f>E92/(1-G92)</f>
        <v/>
      </c>
      <c r="I92">
        <f>SQRT(D92*H92)</f>
        <v/>
      </c>
      <c r="J92">
        <f>D92*PHYSMIX/ATKSPD</f>
        <v/>
      </c>
      <c r="K92">
        <f>D92*(1-PHYSMIX)/CASTRATE</f>
        <v/>
      </c>
      <c r="L92">
        <f>MIN(MSPDBASE*(1+STATCOEF*Inputs!$B$22),MSPDCAP)</f>
        <v/>
      </c>
      <c r="M92">
        <f>SQRT((BASEDPS*B92/(1+STATCOEF)*(1+STATCOEF*Inputs!$B$23)*Inputs!$C$23)*(BASEHP*B92/(1+STATCOEF)*(1+STATCOEF*Inputs!$B$23)*Inputs!$C$23)/(1-(BASEDEF*B92*Inputs!$C$23)/((BASEDEF*B92*Inputs!$C$23)+C92)))</f>
        <v/>
      </c>
      <c r="N92">
        <f>SQRT((BASEDPS*B92/(1+STATCOEF)*(1+STATCOEF*Inputs!$B$24)*Inputs!$C$24)*(BASEHP*B92/(1+STATCOEF)*(1+STATCOEF*Inputs!$B$24)*Inputs!$C$24)/(1-(BASEDEF*B92*Inputs!$C$24)/((BASEDEF*B92*Inputs!$C$24)+C92)))</f>
        <v/>
      </c>
      <c r="O92" s="9">
        <f>1-SQRT((BASEDPS*B92/(1+STATCOEF))*(BASEHP*B92/(1+STATCOEF))/(1-F92/(F92+C92)))/I92</f>
        <v/>
      </c>
    </row>
    <row r="93">
      <c r="A93" t="n">
        <v>92</v>
      </c>
      <c r="B93">
        <f>GROWTH^(A93-1)</f>
        <v/>
      </c>
      <c r="C93">
        <f>KANCHOR*B93</f>
        <v/>
      </c>
      <c r="D93">
        <f>BASEDPS*B93/(1+STATCOEF)*(1+STATCOEF*Inputs!$B$22)*Inputs!$C$22</f>
        <v/>
      </c>
      <c r="E93">
        <f>BASEHP*B93/(1+STATCOEF)*(1+STATCOEF*Inputs!$B$22)*Inputs!$C$22</f>
        <v/>
      </c>
      <c r="F93">
        <f>BASEDEF*B93*Inputs!$C$22</f>
        <v/>
      </c>
      <c r="G93" s="8">
        <f>F93/(F93+C93)</f>
        <v/>
      </c>
      <c r="H93">
        <f>E93/(1-G93)</f>
        <v/>
      </c>
      <c r="I93">
        <f>SQRT(D93*H93)</f>
        <v/>
      </c>
      <c r="J93">
        <f>D93*PHYSMIX/ATKSPD</f>
        <v/>
      </c>
      <c r="K93">
        <f>D93*(1-PHYSMIX)/CASTRATE</f>
        <v/>
      </c>
      <c r="L93">
        <f>MIN(MSPDBASE*(1+STATCOEF*Inputs!$B$22),MSPDCAP)</f>
        <v/>
      </c>
      <c r="M93">
        <f>SQRT((BASEDPS*B93/(1+STATCOEF)*(1+STATCOEF*Inputs!$B$23)*Inputs!$C$23)*(BASEHP*B93/(1+STATCOEF)*(1+STATCOEF*Inputs!$B$23)*Inputs!$C$23)/(1-(BASEDEF*B93*Inputs!$C$23)/((BASEDEF*B93*Inputs!$C$23)+C93)))</f>
        <v/>
      </c>
      <c r="N93">
        <f>SQRT((BASEDPS*B93/(1+STATCOEF)*(1+STATCOEF*Inputs!$B$24)*Inputs!$C$24)*(BASEHP*B93/(1+STATCOEF)*(1+STATCOEF*Inputs!$B$24)*Inputs!$C$24)/(1-(BASEDEF*B93*Inputs!$C$24)/((BASEDEF*B93*Inputs!$C$24)+C93)))</f>
        <v/>
      </c>
      <c r="O93" s="9">
        <f>1-SQRT((BASEDPS*B93/(1+STATCOEF))*(BASEHP*B93/(1+STATCOEF))/(1-F93/(F93+C93)))/I93</f>
        <v/>
      </c>
    </row>
    <row r="94">
      <c r="A94" t="n">
        <v>93</v>
      </c>
      <c r="B94">
        <f>GROWTH^(A94-1)</f>
        <v/>
      </c>
      <c r="C94">
        <f>KANCHOR*B94</f>
        <v/>
      </c>
      <c r="D94">
        <f>BASEDPS*B94/(1+STATCOEF)*(1+STATCOEF*Inputs!$B$22)*Inputs!$C$22</f>
        <v/>
      </c>
      <c r="E94">
        <f>BASEHP*B94/(1+STATCOEF)*(1+STATCOEF*Inputs!$B$22)*Inputs!$C$22</f>
        <v/>
      </c>
      <c r="F94">
        <f>BASEDEF*B94*Inputs!$C$22</f>
        <v/>
      </c>
      <c r="G94" s="8">
        <f>F94/(F94+C94)</f>
        <v/>
      </c>
      <c r="H94">
        <f>E94/(1-G94)</f>
        <v/>
      </c>
      <c r="I94">
        <f>SQRT(D94*H94)</f>
        <v/>
      </c>
      <c r="J94">
        <f>D94*PHYSMIX/ATKSPD</f>
        <v/>
      </c>
      <c r="K94">
        <f>D94*(1-PHYSMIX)/CASTRATE</f>
        <v/>
      </c>
      <c r="L94">
        <f>MIN(MSPDBASE*(1+STATCOEF*Inputs!$B$22),MSPDCAP)</f>
        <v/>
      </c>
      <c r="M94">
        <f>SQRT((BASEDPS*B94/(1+STATCOEF)*(1+STATCOEF*Inputs!$B$23)*Inputs!$C$23)*(BASEHP*B94/(1+STATCOEF)*(1+STATCOEF*Inputs!$B$23)*Inputs!$C$23)/(1-(BASEDEF*B94*Inputs!$C$23)/((BASEDEF*B94*Inputs!$C$23)+C94)))</f>
        <v/>
      </c>
      <c r="N94">
        <f>SQRT((BASEDPS*B94/(1+STATCOEF)*(1+STATCOEF*Inputs!$B$24)*Inputs!$C$24)*(BASEHP*B94/(1+STATCOEF)*(1+STATCOEF*Inputs!$B$24)*Inputs!$C$24)/(1-(BASEDEF*B94*Inputs!$C$24)/((BASEDEF*B94*Inputs!$C$24)+C94)))</f>
        <v/>
      </c>
      <c r="O94" s="9">
        <f>1-SQRT((BASEDPS*B94/(1+STATCOEF))*(BASEHP*B94/(1+STATCOEF))/(1-F94/(F94+C94)))/I94</f>
        <v/>
      </c>
    </row>
    <row r="95">
      <c r="A95" t="n">
        <v>94</v>
      </c>
      <c r="B95">
        <f>GROWTH^(A95-1)</f>
        <v/>
      </c>
      <c r="C95">
        <f>KANCHOR*B95</f>
        <v/>
      </c>
      <c r="D95">
        <f>BASEDPS*B95/(1+STATCOEF)*(1+STATCOEF*Inputs!$B$22)*Inputs!$C$22</f>
        <v/>
      </c>
      <c r="E95">
        <f>BASEHP*B95/(1+STATCOEF)*(1+STATCOEF*Inputs!$B$22)*Inputs!$C$22</f>
        <v/>
      </c>
      <c r="F95">
        <f>BASEDEF*B95*Inputs!$C$22</f>
        <v/>
      </c>
      <c r="G95" s="8">
        <f>F95/(F95+C95)</f>
        <v/>
      </c>
      <c r="H95">
        <f>E95/(1-G95)</f>
        <v/>
      </c>
      <c r="I95">
        <f>SQRT(D95*H95)</f>
        <v/>
      </c>
      <c r="J95">
        <f>D95*PHYSMIX/ATKSPD</f>
        <v/>
      </c>
      <c r="K95">
        <f>D95*(1-PHYSMIX)/CASTRATE</f>
        <v/>
      </c>
      <c r="L95">
        <f>MIN(MSPDBASE*(1+STATCOEF*Inputs!$B$22),MSPDCAP)</f>
        <v/>
      </c>
      <c r="M95">
        <f>SQRT((BASEDPS*B95/(1+STATCOEF)*(1+STATCOEF*Inputs!$B$23)*Inputs!$C$23)*(BASEHP*B95/(1+STATCOEF)*(1+STATCOEF*Inputs!$B$23)*Inputs!$C$23)/(1-(BASEDEF*B95*Inputs!$C$23)/((BASEDEF*B95*Inputs!$C$23)+C95)))</f>
        <v/>
      </c>
      <c r="N95">
        <f>SQRT((BASEDPS*B95/(1+STATCOEF)*(1+STATCOEF*Inputs!$B$24)*Inputs!$C$24)*(BASEHP*B95/(1+STATCOEF)*(1+STATCOEF*Inputs!$B$24)*Inputs!$C$24)/(1-(BASEDEF*B95*Inputs!$C$24)/((BASEDEF*B95*Inputs!$C$24)+C95)))</f>
        <v/>
      </c>
      <c r="O95" s="9">
        <f>1-SQRT((BASEDPS*B95/(1+STATCOEF))*(BASEHP*B95/(1+STATCOEF))/(1-F95/(F95+C95)))/I95</f>
        <v/>
      </c>
    </row>
    <row r="96">
      <c r="A96" t="n">
        <v>95</v>
      </c>
      <c r="B96">
        <f>GROWTH^(A96-1)</f>
        <v/>
      </c>
      <c r="C96">
        <f>KANCHOR*B96</f>
        <v/>
      </c>
      <c r="D96">
        <f>BASEDPS*B96/(1+STATCOEF)*(1+STATCOEF*Inputs!$B$22)*Inputs!$C$22</f>
        <v/>
      </c>
      <c r="E96">
        <f>BASEHP*B96/(1+STATCOEF)*(1+STATCOEF*Inputs!$B$22)*Inputs!$C$22</f>
        <v/>
      </c>
      <c r="F96">
        <f>BASEDEF*B96*Inputs!$C$22</f>
        <v/>
      </c>
      <c r="G96" s="8">
        <f>F96/(F96+C96)</f>
        <v/>
      </c>
      <c r="H96">
        <f>E96/(1-G96)</f>
        <v/>
      </c>
      <c r="I96">
        <f>SQRT(D96*H96)</f>
        <v/>
      </c>
      <c r="J96">
        <f>D96*PHYSMIX/ATKSPD</f>
        <v/>
      </c>
      <c r="K96">
        <f>D96*(1-PHYSMIX)/CASTRATE</f>
        <v/>
      </c>
      <c r="L96">
        <f>MIN(MSPDBASE*(1+STATCOEF*Inputs!$B$22),MSPDCAP)</f>
        <v/>
      </c>
      <c r="M96">
        <f>SQRT((BASEDPS*B96/(1+STATCOEF)*(1+STATCOEF*Inputs!$B$23)*Inputs!$C$23)*(BASEHP*B96/(1+STATCOEF)*(1+STATCOEF*Inputs!$B$23)*Inputs!$C$23)/(1-(BASEDEF*B96*Inputs!$C$23)/((BASEDEF*B96*Inputs!$C$23)+C96)))</f>
        <v/>
      </c>
      <c r="N96">
        <f>SQRT((BASEDPS*B96/(1+STATCOEF)*(1+STATCOEF*Inputs!$B$24)*Inputs!$C$24)*(BASEHP*B96/(1+STATCOEF)*(1+STATCOEF*Inputs!$B$24)*Inputs!$C$24)/(1-(BASEDEF*B96*Inputs!$C$24)/((BASEDEF*B96*Inputs!$C$24)+C96)))</f>
        <v/>
      </c>
      <c r="O96" s="9">
        <f>1-SQRT((BASEDPS*B96/(1+STATCOEF))*(BASEHP*B96/(1+STATCOEF))/(1-F96/(F96+C96)))/I96</f>
        <v/>
      </c>
    </row>
    <row r="97">
      <c r="A97" t="n">
        <v>96</v>
      </c>
      <c r="B97">
        <f>GROWTH^(A97-1)</f>
        <v/>
      </c>
      <c r="C97">
        <f>KANCHOR*B97</f>
        <v/>
      </c>
      <c r="D97">
        <f>BASEDPS*B97/(1+STATCOEF)*(1+STATCOEF*Inputs!$B$22)*Inputs!$C$22</f>
        <v/>
      </c>
      <c r="E97">
        <f>BASEHP*B97/(1+STATCOEF)*(1+STATCOEF*Inputs!$B$22)*Inputs!$C$22</f>
        <v/>
      </c>
      <c r="F97">
        <f>BASEDEF*B97*Inputs!$C$22</f>
        <v/>
      </c>
      <c r="G97" s="8">
        <f>F97/(F97+C97)</f>
        <v/>
      </c>
      <c r="H97">
        <f>E97/(1-G97)</f>
        <v/>
      </c>
      <c r="I97">
        <f>SQRT(D97*H97)</f>
        <v/>
      </c>
      <c r="J97">
        <f>D97*PHYSMIX/ATKSPD</f>
        <v/>
      </c>
      <c r="K97">
        <f>D97*(1-PHYSMIX)/CASTRATE</f>
        <v/>
      </c>
      <c r="L97">
        <f>MIN(MSPDBASE*(1+STATCOEF*Inputs!$B$22),MSPDCAP)</f>
        <v/>
      </c>
      <c r="M97">
        <f>SQRT((BASEDPS*B97/(1+STATCOEF)*(1+STATCOEF*Inputs!$B$23)*Inputs!$C$23)*(BASEHP*B97/(1+STATCOEF)*(1+STATCOEF*Inputs!$B$23)*Inputs!$C$23)/(1-(BASEDEF*B97*Inputs!$C$23)/((BASEDEF*B97*Inputs!$C$23)+C97)))</f>
        <v/>
      </c>
      <c r="N97">
        <f>SQRT((BASEDPS*B97/(1+STATCOEF)*(1+STATCOEF*Inputs!$B$24)*Inputs!$C$24)*(BASEHP*B97/(1+STATCOEF)*(1+STATCOEF*Inputs!$B$24)*Inputs!$C$24)/(1-(BASEDEF*B97*Inputs!$C$24)/((BASEDEF*B97*Inputs!$C$24)+C97)))</f>
        <v/>
      </c>
      <c r="O97" s="9">
        <f>1-SQRT((BASEDPS*B97/(1+STATCOEF))*(BASEHP*B97/(1+STATCOEF))/(1-F97/(F97+C97)))/I97</f>
        <v/>
      </c>
    </row>
    <row r="98">
      <c r="A98" t="n">
        <v>97</v>
      </c>
      <c r="B98">
        <f>GROWTH^(A98-1)</f>
        <v/>
      </c>
      <c r="C98">
        <f>KANCHOR*B98</f>
        <v/>
      </c>
      <c r="D98">
        <f>BASEDPS*B98/(1+STATCOEF)*(1+STATCOEF*Inputs!$B$22)*Inputs!$C$22</f>
        <v/>
      </c>
      <c r="E98">
        <f>BASEHP*B98/(1+STATCOEF)*(1+STATCOEF*Inputs!$B$22)*Inputs!$C$22</f>
        <v/>
      </c>
      <c r="F98">
        <f>BASEDEF*B98*Inputs!$C$22</f>
        <v/>
      </c>
      <c r="G98" s="8">
        <f>F98/(F98+C98)</f>
        <v/>
      </c>
      <c r="H98">
        <f>E98/(1-G98)</f>
        <v/>
      </c>
      <c r="I98">
        <f>SQRT(D98*H98)</f>
        <v/>
      </c>
      <c r="J98">
        <f>D98*PHYSMIX/ATKSPD</f>
        <v/>
      </c>
      <c r="K98">
        <f>D98*(1-PHYSMIX)/CASTRATE</f>
        <v/>
      </c>
      <c r="L98">
        <f>MIN(MSPDBASE*(1+STATCOEF*Inputs!$B$22),MSPDCAP)</f>
        <v/>
      </c>
      <c r="M98">
        <f>SQRT((BASEDPS*B98/(1+STATCOEF)*(1+STATCOEF*Inputs!$B$23)*Inputs!$C$23)*(BASEHP*B98/(1+STATCOEF)*(1+STATCOEF*Inputs!$B$23)*Inputs!$C$23)/(1-(BASEDEF*B98*Inputs!$C$23)/((BASEDEF*B98*Inputs!$C$23)+C98)))</f>
        <v/>
      </c>
      <c r="N98">
        <f>SQRT((BASEDPS*B98/(1+STATCOEF)*(1+STATCOEF*Inputs!$B$24)*Inputs!$C$24)*(BASEHP*B98/(1+STATCOEF)*(1+STATCOEF*Inputs!$B$24)*Inputs!$C$24)/(1-(BASEDEF*B98*Inputs!$C$24)/((BASEDEF*B98*Inputs!$C$24)+C98)))</f>
        <v/>
      </c>
      <c r="O98" s="9">
        <f>1-SQRT((BASEDPS*B98/(1+STATCOEF))*(BASEHP*B98/(1+STATCOEF))/(1-F98/(F98+C98)))/I98</f>
        <v/>
      </c>
    </row>
    <row r="99">
      <c r="A99" t="n">
        <v>98</v>
      </c>
      <c r="B99">
        <f>GROWTH^(A99-1)</f>
        <v/>
      </c>
      <c r="C99">
        <f>KANCHOR*B99</f>
        <v/>
      </c>
      <c r="D99">
        <f>BASEDPS*B99/(1+STATCOEF)*(1+STATCOEF*Inputs!$B$22)*Inputs!$C$22</f>
        <v/>
      </c>
      <c r="E99">
        <f>BASEHP*B99/(1+STATCOEF)*(1+STATCOEF*Inputs!$B$22)*Inputs!$C$22</f>
        <v/>
      </c>
      <c r="F99">
        <f>BASEDEF*B99*Inputs!$C$22</f>
        <v/>
      </c>
      <c r="G99" s="8">
        <f>F99/(F99+C99)</f>
        <v/>
      </c>
      <c r="H99">
        <f>E99/(1-G99)</f>
        <v/>
      </c>
      <c r="I99">
        <f>SQRT(D99*H99)</f>
        <v/>
      </c>
      <c r="J99">
        <f>D99*PHYSMIX/ATKSPD</f>
        <v/>
      </c>
      <c r="K99">
        <f>D99*(1-PHYSMIX)/CASTRATE</f>
        <v/>
      </c>
      <c r="L99">
        <f>MIN(MSPDBASE*(1+STATCOEF*Inputs!$B$22),MSPDCAP)</f>
        <v/>
      </c>
      <c r="M99">
        <f>SQRT((BASEDPS*B99/(1+STATCOEF)*(1+STATCOEF*Inputs!$B$23)*Inputs!$C$23)*(BASEHP*B99/(1+STATCOEF)*(1+STATCOEF*Inputs!$B$23)*Inputs!$C$23)/(1-(BASEDEF*B99*Inputs!$C$23)/((BASEDEF*B99*Inputs!$C$23)+C99)))</f>
        <v/>
      </c>
      <c r="N99">
        <f>SQRT((BASEDPS*B99/(1+STATCOEF)*(1+STATCOEF*Inputs!$B$24)*Inputs!$C$24)*(BASEHP*B99/(1+STATCOEF)*(1+STATCOEF*Inputs!$B$24)*Inputs!$C$24)/(1-(BASEDEF*B99*Inputs!$C$24)/((BASEDEF*B99*Inputs!$C$24)+C99)))</f>
        <v/>
      </c>
      <c r="O99" s="9">
        <f>1-SQRT((BASEDPS*B99/(1+STATCOEF))*(BASEHP*B99/(1+STATCOEF))/(1-F99/(F99+C99)))/I99</f>
        <v/>
      </c>
    </row>
    <row r="100">
      <c r="A100" t="n">
        <v>99</v>
      </c>
      <c r="B100">
        <f>GROWTH^(A100-1)</f>
        <v/>
      </c>
      <c r="C100">
        <f>KANCHOR*B100</f>
        <v/>
      </c>
      <c r="D100">
        <f>BASEDPS*B100/(1+STATCOEF)*(1+STATCOEF*Inputs!$B$22)*Inputs!$C$22</f>
        <v/>
      </c>
      <c r="E100">
        <f>BASEHP*B100/(1+STATCOEF)*(1+STATCOEF*Inputs!$B$22)*Inputs!$C$22</f>
        <v/>
      </c>
      <c r="F100">
        <f>BASEDEF*B100*Inputs!$C$22</f>
        <v/>
      </c>
      <c r="G100" s="8">
        <f>F100/(F100+C100)</f>
        <v/>
      </c>
      <c r="H100">
        <f>E100/(1-G100)</f>
        <v/>
      </c>
      <c r="I100">
        <f>SQRT(D100*H100)</f>
        <v/>
      </c>
      <c r="J100">
        <f>D100*PHYSMIX/ATKSPD</f>
        <v/>
      </c>
      <c r="K100">
        <f>D100*(1-PHYSMIX)/CASTRATE</f>
        <v/>
      </c>
      <c r="L100">
        <f>MIN(MSPDBASE*(1+STATCOEF*Inputs!$B$22),MSPDCAP)</f>
        <v/>
      </c>
      <c r="M100">
        <f>SQRT((BASEDPS*B100/(1+STATCOEF)*(1+STATCOEF*Inputs!$B$23)*Inputs!$C$23)*(BASEHP*B100/(1+STATCOEF)*(1+STATCOEF*Inputs!$B$23)*Inputs!$C$23)/(1-(BASEDEF*B100*Inputs!$C$23)/((BASEDEF*B100*Inputs!$C$23)+C100)))</f>
        <v/>
      </c>
      <c r="N100">
        <f>SQRT((BASEDPS*B100/(1+STATCOEF)*(1+STATCOEF*Inputs!$B$24)*Inputs!$C$24)*(BASEHP*B100/(1+STATCOEF)*(1+STATCOEF*Inputs!$B$24)*Inputs!$C$24)/(1-(BASEDEF*B100*Inputs!$C$24)/((BASEDEF*B100*Inputs!$C$24)+C100)))</f>
        <v/>
      </c>
      <c r="O100" s="9">
        <f>1-SQRT((BASEDPS*B100/(1+STATCOEF))*(BASEHP*B100/(1+STATCOEF))/(1-F100/(F100+C100)))/I100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8" customWidth="1" min="4" max="4"/>
    <col width="13" customWidth="1" min="5" max="5"/>
    <col width="14" customWidth="1" min="6" max="6"/>
    <col width="9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10" customWidth="1" min="16" max="16"/>
    <col width="15" customWidth="1" min="17" max="17"/>
    <col width="10" customWidth="1" min="18" max="18"/>
    <col width="12" customWidth="1" min="19" max="19"/>
    <col width="10" customWidth="1" min="20" max="20"/>
    <col width="11" customWidth="1" min="21" max="21"/>
    <col width="12" customWidth="1" min="22" max="22"/>
  </cols>
  <sheetData>
    <row r="1">
      <c r="A1" s="7" t="inlineStr">
        <is>
          <t>rank</t>
        </is>
      </c>
      <c r="B1" s="7" t="inlineStr">
        <is>
          <t>lvl from</t>
        </is>
      </c>
      <c r="C1" s="7" t="inlineStr">
        <is>
          <t>lvl to</t>
        </is>
      </c>
      <c r="D1" s="7" t="inlineStr">
        <is>
          <t>ref lvl</t>
        </is>
      </c>
      <c r="E1" s="7" t="inlineStr">
        <is>
          <t>n (headcount)</t>
        </is>
      </c>
      <c r="F1" s="7" t="inlineStr">
        <is>
          <t>mult (per-mob)</t>
        </is>
      </c>
      <c r="G1" s="7" t="inlineStr">
        <is>
          <t>old mult</t>
        </is>
      </c>
      <c r="H1" s="7" t="inlineStr">
        <is>
          <t>ref CS</t>
        </is>
      </c>
      <c r="I1" s="7" t="inlineStr">
        <is>
          <t>mob CS</t>
        </is>
      </c>
      <c r="J1" s="7" t="inlineStr">
        <is>
          <t>mob HP</t>
        </is>
      </c>
      <c r="K1" s="7" t="inlineStr">
        <is>
          <t>mob pAtk</t>
        </is>
      </c>
      <c r="L1" s="7" t="inlineStr">
        <is>
          <t>mob pDef</t>
        </is>
      </c>
      <c r="M1" s="7" t="inlineStr">
        <is>
          <t>R solo (max)</t>
        </is>
      </c>
      <c r="N1" s="7" t="inlineStr">
        <is>
          <t>verdict</t>
        </is>
      </c>
      <c r="O1" s="7" t="inlineStr">
        <is>
          <t>R party (max)</t>
        </is>
      </c>
      <c r="P1" s="7" t="inlineStr">
        <is>
          <t>verdict</t>
        </is>
      </c>
      <c r="Q1" s="7" t="inlineStr">
        <is>
          <t>R party (median)</t>
        </is>
      </c>
      <c r="R1" s="7" t="inlineStr">
        <is>
          <t>verdict</t>
        </is>
      </c>
      <c r="S1" s="7" t="inlineStr">
        <is>
          <t>R party (min)</t>
        </is>
      </c>
      <c r="T1" s="7" t="inlineStr">
        <is>
          <t>verdict</t>
        </is>
      </c>
      <c r="U1" s="7" t="inlineStr">
        <is>
          <t>TTK per mob</t>
        </is>
      </c>
      <c r="V1" s="7" t="inlineStr">
        <is>
          <t>TTK encounter</t>
        </is>
      </c>
    </row>
    <row r="2">
      <c r="A2" s="4" t="inlineStr">
        <is>
          <t>E</t>
        </is>
      </c>
      <c r="B2" t="n">
        <v>1</v>
      </c>
      <c r="C2" t="n">
        <v>12</v>
      </c>
      <c r="D2">
        <f>ROUNDDOWN((B2+C2)/2,0)</f>
        <v/>
      </c>
      <c r="E2" s="5" t="n">
        <v>1</v>
      </c>
      <c r="F2" s="5" t="n">
        <v>0.29</v>
      </c>
      <c r="G2" t="n">
        <v>1</v>
      </c>
      <c r="H2">
        <f>INDEX(Player!$I:$I,D2+1)</f>
        <v/>
      </c>
      <c r="I2">
        <f>H2*F2</f>
        <v/>
      </c>
      <c r="J2">
        <f>INDEX(Player!$E:$E,D2+1)*F2</f>
        <v/>
      </c>
      <c r="K2">
        <f>INDEX(Player!$J:$J,D2+1)*F2</f>
        <v/>
      </c>
      <c r="L2">
        <f>INDEX(Player!$F:$F,D2+1)*F2</f>
        <v/>
      </c>
      <c r="M2" s="10">
        <f>(H2/I2)^2</f>
        <v/>
      </c>
      <c r="N2">
        <f>IF(M2&lt;Inputs!$B$29,"LOSS",IF(M2&lt;Inputs!$B$30,"brutal",IF(M2&lt;Inputs!$B$31,"hard",IF(M2&lt;Inputs!$B$32,"fair",IF(M2&lt;Inputs!$B$33,"easy","trivial")))))</f>
        <v/>
      </c>
      <c r="O2" s="10">
        <f>M2*2*E2/(E2+1)</f>
        <v/>
      </c>
      <c r="P2">
        <f>IF(O2&lt;Inputs!$B$29,"LOSS",IF(O2&lt;Inputs!$B$30,"brutal",IF(O2&lt;Inputs!$B$31,"hard",IF(O2&lt;Inputs!$B$32,"fair",IF(O2&lt;Inputs!$B$33,"easy","trivial")))))</f>
        <v/>
      </c>
      <c r="Q2" s="10">
        <f>(INDEX(Player!$M:$M,D2+1)/I2)^2*2*E2/(E2+1)</f>
        <v/>
      </c>
      <c r="R2">
        <f>IF(Q2&lt;Inputs!$B$29,"LOSS",IF(Q2&lt;Inputs!$B$30,"brutal",IF(Q2&lt;Inputs!$B$31,"hard",IF(Q2&lt;Inputs!$B$32,"fair",IF(Q2&lt;Inputs!$B$33,"easy","trivial")))))</f>
        <v/>
      </c>
      <c r="S2" s="10">
        <f>(INDEX(Player!$N:$N,D2+1)/I2)^2*2*E2/(E2+1)</f>
        <v/>
      </c>
      <c r="T2">
        <f>IF(S2&lt;Inputs!$B$29,"LOSS",IF(S2&lt;Inputs!$B$30,"brutal",IF(S2&lt;Inputs!$B$31,"hard",IF(S2&lt;Inputs!$B$32,"fair",IF(S2&lt;Inputs!$B$33,"easy","trivial")))))</f>
        <v/>
      </c>
      <c r="U2" s="10">
        <f>(INDEX(Player!$H:$H,D2+1)*F2)/(INDEX(Player!$D:$D,D2+1)*E2)</f>
        <v/>
      </c>
      <c r="V2" s="10">
        <f>U2*E2</f>
        <v/>
      </c>
    </row>
    <row r="3">
      <c r="A3" s="4" t="inlineStr">
        <is>
          <t>D</t>
        </is>
      </c>
      <c r="B3" t="n">
        <v>13</v>
      </c>
      <c r="C3" t="n">
        <v>25</v>
      </c>
      <c r="D3">
        <f>ROUNDDOWN((B3+C3)/2,0)</f>
        <v/>
      </c>
      <c r="E3" s="5" t="n">
        <v>1</v>
      </c>
      <c r="F3" s="5" t="n">
        <v>0.41</v>
      </c>
      <c r="G3" t="n">
        <v>1.15</v>
      </c>
      <c r="H3">
        <f>INDEX(Player!$I:$I,D3+1)</f>
        <v/>
      </c>
      <c r="I3">
        <f>H3*F3</f>
        <v/>
      </c>
      <c r="J3">
        <f>INDEX(Player!$E:$E,D3+1)*F3</f>
        <v/>
      </c>
      <c r="K3">
        <f>INDEX(Player!$J:$J,D3+1)*F3</f>
        <v/>
      </c>
      <c r="L3">
        <f>INDEX(Player!$F:$F,D3+1)*F3</f>
        <v/>
      </c>
      <c r="M3" s="10">
        <f>(H3/I3)^2</f>
        <v/>
      </c>
      <c r="N3">
        <f>IF(M3&lt;Inputs!$B$29,"LOSS",IF(M3&lt;Inputs!$B$30,"brutal",IF(M3&lt;Inputs!$B$31,"hard",IF(M3&lt;Inputs!$B$32,"fair",IF(M3&lt;Inputs!$B$33,"easy","trivial")))))</f>
        <v/>
      </c>
      <c r="O3" s="10">
        <f>M3*2*E3/(E3+1)</f>
        <v/>
      </c>
      <c r="P3">
        <f>IF(O3&lt;Inputs!$B$29,"LOSS",IF(O3&lt;Inputs!$B$30,"brutal",IF(O3&lt;Inputs!$B$31,"hard",IF(O3&lt;Inputs!$B$32,"fair",IF(O3&lt;Inputs!$B$33,"easy","trivial")))))</f>
        <v/>
      </c>
      <c r="Q3" s="10">
        <f>(INDEX(Player!$M:$M,D3+1)/I3)^2*2*E3/(E3+1)</f>
        <v/>
      </c>
      <c r="R3">
        <f>IF(Q3&lt;Inputs!$B$29,"LOSS",IF(Q3&lt;Inputs!$B$30,"brutal",IF(Q3&lt;Inputs!$B$31,"hard",IF(Q3&lt;Inputs!$B$32,"fair",IF(Q3&lt;Inputs!$B$33,"easy","trivial")))))</f>
        <v/>
      </c>
      <c r="S3" s="10">
        <f>(INDEX(Player!$N:$N,D3+1)/I3)^2*2*E3/(E3+1)</f>
        <v/>
      </c>
      <c r="T3">
        <f>IF(S3&lt;Inputs!$B$29,"LOSS",IF(S3&lt;Inputs!$B$30,"brutal",IF(S3&lt;Inputs!$B$31,"hard",IF(S3&lt;Inputs!$B$32,"fair",IF(S3&lt;Inputs!$B$33,"easy","trivial")))))</f>
        <v/>
      </c>
      <c r="U3" s="10">
        <f>(INDEX(Player!$H:$H,D3+1)*F3)/(INDEX(Player!$D:$D,D3+1)*E3)</f>
        <v/>
      </c>
      <c r="V3" s="10">
        <f>U3*E3</f>
        <v/>
      </c>
    </row>
    <row r="4">
      <c r="A4" s="4" t="inlineStr">
        <is>
          <t>C</t>
        </is>
      </c>
      <c r="B4" t="n">
        <v>26</v>
      </c>
      <c r="C4" t="n">
        <v>40</v>
      </c>
      <c r="D4">
        <f>ROUNDDOWN((B4+C4)/2,0)</f>
        <v/>
      </c>
      <c r="E4" s="5" t="n">
        <v>1</v>
      </c>
      <c r="F4" s="5" t="n">
        <v>0.5</v>
      </c>
      <c r="G4" t="n">
        <v>1.3</v>
      </c>
      <c r="H4">
        <f>INDEX(Player!$I:$I,D4+1)</f>
        <v/>
      </c>
      <c r="I4">
        <f>H4*F4</f>
        <v/>
      </c>
      <c r="J4">
        <f>INDEX(Player!$E:$E,D4+1)*F4</f>
        <v/>
      </c>
      <c r="K4">
        <f>INDEX(Player!$J:$J,D4+1)*F4</f>
        <v/>
      </c>
      <c r="L4">
        <f>INDEX(Player!$F:$F,D4+1)*F4</f>
        <v/>
      </c>
      <c r="M4" s="10">
        <f>(H4/I4)^2</f>
        <v/>
      </c>
      <c r="N4">
        <f>IF(M4&lt;Inputs!$B$29,"LOSS",IF(M4&lt;Inputs!$B$30,"brutal",IF(M4&lt;Inputs!$B$31,"hard",IF(M4&lt;Inputs!$B$32,"fair",IF(M4&lt;Inputs!$B$33,"easy","trivial")))))</f>
        <v/>
      </c>
      <c r="O4" s="10">
        <f>M4*2*E4/(E4+1)</f>
        <v/>
      </c>
      <c r="P4">
        <f>IF(O4&lt;Inputs!$B$29,"LOSS",IF(O4&lt;Inputs!$B$30,"brutal",IF(O4&lt;Inputs!$B$31,"hard",IF(O4&lt;Inputs!$B$32,"fair",IF(O4&lt;Inputs!$B$33,"easy","trivial")))))</f>
        <v/>
      </c>
      <c r="Q4" s="10">
        <f>(INDEX(Player!$M:$M,D4+1)/I4)^2*2*E4/(E4+1)</f>
        <v/>
      </c>
      <c r="R4">
        <f>IF(Q4&lt;Inputs!$B$29,"LOSS",IF(Q4&lt;Inputs!$B$30,"brutal",IF(Q4&lt;Inputs!$B$31,"hard",IF(Q4&lt;Inputs!$B$32,"fair",IF(Q4&lt;Inputs!$B$33,"easy","trivial")))))</f>
        <v/>
      </c>
      <c r="S4" s="10">
        <f>(INDEX(Player!$N:$N,D4+1)/I4)^2*2*E4/(E4+1)</f>
        <v/>
      </c>
      <c r="T4">
        <f>IF(S4&lt;Inputs!$B$29,"LOSS",IF(S4&lt;Inputs!$B$30,"brutal",IF(S4&lt;Inputs!$B$31,"hard",IF(S4&lt;Inputs!$B$32,"fair",IF(S4&lt;Inputs!$B$33,"easy","trivial")))))</f>
        <v/>
      </c>
      <c r="U4" s="10">
        <f>(INDEX(Player!$H:$H,D4+1)*F4)/(INDEX(Player!$D:$D,D4+1)*E4)</f>
        <v/>
      </c>
      <c r="V4" s="10">
        <f>U4*E4</f>
        <v/>
      </c>
    </row>
    <row r="5">
      <c r="A5" s="4" t="inlineStr">
        <is>
          <t>B</t>
        </is>
      </c>
      <c r="B5" t="n">
        <v>41</v>
      </c>
      <c r="C5" t="n">
        <v>55</v>
      </c>
      <c r="D5">
        <f>ROUNDDOWN((B5+C5)/2,0)</f>
        <v/>
      </c>
      <c r="E5" s="5" t="n">
        <v>2</v>
      </c>
      <c r="F5" s="5" t="n">
        <v>0.78</v>
      </c>
      <c r="G5" t="n">
        <v>1.5</v>
      </c>
      <c r="H5">
        <f>INDEX(Player!$I:$I,D5+1)</f>
        <v/>
      </c>
      <c r="I5">
        <f>H5*F5</f>
        <v/>
      </c>
      <c r="J5">
        <f>INDEX(Player!$E:$E,D5+1)*F5</f>
        <v/>
      </c>
      <c r="K5">
        <f>INDEX(Player!$J:$J,D5+1)*F5</f>
        <v/>
      </c>
      <c r="L5">
        <f>INDEX(Player!$F:$F,D5+1)*F5</f>
        <v/>
      </c>
      <c r="M5" s="10">
        <f>(H5/I5)^2</f>
        <v/>
      </c>
      <c r="N5">
        <f>IF(M5&lt;Inputs!$B$29,"LOSS",IF(M5&lt;Inputs!$B$30,"brutal",IF(M5&lt;Inputs!$B$31,"hard",IF(M5&lt;Inputs!$B$32,"fair",IF(M5&lt;Inputs!$B$33,"easy","trivial")))))</f>
        <v/>
      </c>
      <c r="O5" s="10">
        <f>M5*2*E5/(E5+1)</f>
        <v/>
      </c>
      <c r="P5">
        <f>IF(O5&lt;Inputs!$B$29,"LOSS",IF(O5&lt;Inputs!$B$30,"brutal",IF(O5&lt;Inputs!$B$31,"hard",IF(O5&lt;Inputs!$B$32,"fair",IF(O5&lt;Inputs!$B$33,"easy","trivial")))))</f>
        <v/>
      </c>
      <c r="Q5" s="10">
        <f>(INDEX(Player!$M:$M,D5+1)/I5)^2*2*E5/(E5+1)</f>
        <v/>
      </c>
      <c r="R5">
        <f>IF(Q5&lt;Inputs!$B$29,"LOSS",IF(Q5&lt;Inputs!$B$30,"brutal",IF(Q5&lt;Inputs!$B$31,"hard",IF(Q5&lt;Inputs!$B$32,"fair",IF(Q5&lt;Inputs!$B$33,"easy","trivial")))))</f>
        <v/>
      </c>
      <c r="S5" s="10">
        <f>(INDEX(Player!$N:$N,D5+1)/I5)^2*2*E5/(E5+1)</f>
        <v/>
      </c>
      <c r="T5">
        <f>IF(S5&lt;Inputs!$B$29,"LOSS",IF(S5&lt;Inputs!$B$30,"brutal",IF(S5&lt;Inputs!$B$31,"hard",IF(S5&lt;Inputs!$B$32,"fair",IF(S5&lt;Inputs!$B$33,"easy","trivial")))))</f>
        <v/>
      </c>
      <c r="U5" s="10">
        <f>(INDEX(Player!$H:$H,D5+1)*F5)/(INDEX(Player!$D:$D,D5+1)*E5)</f>
        <v/>
      </c>
      <c r="V5" s="10">
        <f>U5*E5</f>
        <v/>
      </c>
    </row>
    <row r="6">
      <c r="A6" s="4" t="inlineStr">
        <is>
          <t>A</t>
        </is>
      </c>
      <c r="B6" t="n">
        <v>56</v>
      </c>
      <c r="C6" t="n">
        <v>70</v>
      </c>
      <c r="D6">
        <f>ROUNDDOWN((B6+C6)/2,0)</f>
        <v/>
      </c>
      <c r="E6" s="5" t="n">
        <v>4</v>
      </c>
      <c r="F6" s="5" t="n">
        <v>0.9429999999999999</v>
      </c>
      <c r="G6" t="n">
        <v>1.8</v>
      </c>
      <c r="H6">
        <f>INDEX(Player!$I:$I,D6+1)</f>
        <v/>
      </c>
      <c r="I6">
        <f>H6*F6</f>
        <v/>
      </c>
      <c r="J6">
        <f>INDEX(Player!$E:$E,D6+1)*F6</f>
        <v/>
      </c>
      <c r="K6">
        <f>INDEX(Player!$J:$J,D6+1)*F6</f>
        <v/>
      </c>
      <c r="L6">
        <f>INDEX(Player!$F:$F,D6+1)*F6</f>
        <v/>
      </c>
      <c r="M6" s="10">
        <f>(H6/I6)^2</f>
        <v/>
      </c>
      <c r="N6">
        <f>IF(M6&lt;Inputs!$B$29,"LOSS",IF(M6&lt;Inputs!$B$30,"brutal",IF(M6&lt;Inputs!$B$31,"hard",IF(M6&lt;Inputs!$B$32,"fair",IF(M6&lt;Inputs!$B$33,"easy","trivial")))))</f>
        <v/>
      </c>
      <c r="O6" s="10">
        <f>M6*2*E6/(E6+1)</f>
        <v/>
      </c>
      <c r="P6">
        <f>IF(O6&lt;Inputs!$B$29,"LOSS",IF(O6&lt;Inputs!$B$30,"brutal",IF(O6&lt;Inputs!$B$31,"hard",IF(O6&lt;Inputs!$B$32,"fair",IF(O6&lt;Inputs!$B$33,"easy","trivial")))))</f>
        <v/>
      </c>
      <c r="Q6" s="10">
        <f>(INDEX(Player!$M:$M,D6+1)/I6)^2*2*E6/(E6+1)</f>
        <v/>
      </c>
      <c r="R6">
        <f>IF(Q6&lt;Inputs!$B$29,"LOSS",IF(Q6&lt;Inputs!$B$30,"brutal",IF(Q6&lt;Inputs!$B$31,"hard",IF(Q6&lt;Inputs!$B$32,"fair",IF(Q6&lt;Inputs!$B$33,"easy","trivial")))))</f>
        <v/>
      </c>
      <c r="S6" s="10">
        <f>(INDEX(Player!$N:$N,D6+1)/I6)^2*2*E6/(E6+1)</f>
        <v/>
      </c>
      <c r="T6">
        <f>IF(S6&lt;Inputs!$B$29,"LOSS",IF(S6&lt;Inputs!$B$30,"brutal",IF(S6&lt;Inputs!$B$31,"hard",IF(S6&lt;Inputs!$B$32,"fair",IF(S6&lt;Inputs!$B$33,"easy","trivial")))))</f>
        <v/>
      </c>
      <c r="U6" s="10">
        <f>(INDEX(Player!$H:$H,D6+1)*F6)/(INDEX(Player!$D:$D,D6+1)*E6)</f>
        <v/>
      </c>
      <c r="V6" s="10">
        <f>U6*E6</f>
        <v/>
      </c>
    </row>
    <row r="7">
      <c r="A7" s="4" t="inlineStr">
        <is>
          <t>S</t>
        </is>
      </c>
      <c r="B7" t="n">
        <v>71</v>
      </c>
      <c r="C7" t="n">
        <v>84</v>
      </c>
      <c r="D7">
        <f>ROUNDDOWN((B7+C7)/2,0)</f>
        <v/>
      </c>
      <c r="E7" s="5" t="n">
        <v>8</v>
      </c>
      <c r="F7" s="5" t="n">
        <v>1.054</v>
      </c>
      <c r="G7" t="n">
        <v>2.2</v>
      </c>
      <c r="H7">
        <f>INDEX(Player!$I:$I,D7+1)</f>
        <v/>
      </c>
      <c r="I7">
        <f>H7*F7</f>
        <v/>
      </c>
      <c r="J7">
        <f>INDEX(Player!$E:$E,D7+1)*F7</f>
        <v/>
      </c>
      <c r="K7">
        <f>INDEX(Player!$J:$J,D7+1)*F7</f>
        <v/>
      </c>
      <c r="L7">
        <f>INDEX(Player!$F:$F,D7+1)*F7</f>
        <v/>
      </c>
      <c r="M7" s="10">
        <f>(H7/I7)^2</f>
        <v/>
      </c>
      <c r="N7">
        <f>IF(M7&lt;Inputs!$B$29,"LOSS",IF(M7&lt;Inputs!$B$30,"brutal",IF(M7&lt;Inputs!$B$31,"hard",IF(M7&lt;Inputs!$B$32,"fair",IF(M7&lt;Inputs!$B$33,"easy","trivial")))))</f>
        <v/>
      </c>
      <c r="O7" s="10">
        <f>M7*2*E7/(E7+1)</f>
        <v/>
      </c>
      <c r="P7">
        <f>IF(O7&lt;Inputs!$B$29,"LOSS",IF(O7&lt;Inputs!$B$30,"brutal",IF(O7&lt;Inputs!$B$31,"hard",IF(O7&lt;Inputs!$B$32,"fair",IF(O7&lt;Inputs!$B$33,"easy","trivial")))))</f>
        <v/>
      </c>
      <c r="Q7" s="10">
        <f>(INDEX(Player!$M:$M,D7+1)/I7)^2*2*E7/(E7+1)</f>
        <v/>
      </c>
      <c r="R7">
        <f>IF(Q7&lt;Inputs!$B$29,"LOSS",IF(Q7&lt;Inputs!$B$30,"brutal",IF(Q7&lt;Inputs!$B$31,"hard",IF(Q7&lt;Inputs!$B$32,"fair",IF(Q7&lt;Inputs!$B$33,"easy","trivial")))))</f>
        <v/>
      </c>
      <c r="S7" s="10">
        <f>(INDEX(Player!$N:$N,D7+1)/I7)^2*2*E7/(E7+1)</f>
        <v/>
      </c>
      <c r="T7">
        <f>IF(S7&lt;Inputs!$B$29,"LOSS",IF(S7&lt;Inputs!$B$30,"brutal",IF(S7&lt;Inputs!$B$31,"hard",IF(S7&lt;Inputs!$B$32,"fair",IF(S7&lt;Inputs!$B$33,"easy","trivial")))))</f>
        <v/>
      </c>
      <c r="U7" s="10">
        <f>(INDEX(Player!$H:$H,D7+1)*F7)/(INDEX(Player!$D:$D,D7+1)*E7)</f>
        <v/>
      </c>
      <c r="V7" s="10">
        <f>U7*E7</f>
        <v/>
      </c>
    </row>
    <row r="8">
      <c r="A8" s="4" t="inlineStr">
        <is>
          <t>SS</t>
        </is>
      </c>
      <c r="B8" t="n">
        <v>85</v>
      </c>
      <c r="C8" t="n">
        <v>95</v>
      </c>
      <c r="D8">
        <f>ROUNDDOWN((B8+C8)/2,0)</f>
        <v/>
      </c>
      <c r="E8" s="5" t="n">
        <v>20</v>
      </c>
      <c r="F8" s="5" t="n">
        <v>1.127</v>
      </c>
      <c r="G8" t="n">
        <v>2.8</v>
      </c>
      <c r="H8">
        <f>INDEX(Player!$I:$I,D8+1)</f>
        <v/>
      </c>
      <c r="I8">
        <f>H8*F8</f>
        <v/>
      </c>
      <c r="J8">
        <f>INDEX(Player!$E:$E,D8+1)*F8</f>
        <v/>
      </c>
      <c r="K8">
        <f>INDEX(Player!$J:$J,D8+1)*F8</f>
        <v/>
      </c>
      <c r="L8">
        <f>INDEX(Player!$F:$F,D8+1)*F8</f>
        <v/>
      </c>
      <c r="M8" s="10">
        <f>(H8/I8)^2</f>
        <v/>
      </c>
      <c r="N8">
        <f>IF(M8&lt;Inputs!$B$29,"LOSS",IF(M8&lt;Inputs!$B$30,"brutal",IF(M8&lt;Inputs!$B$31,"hard",IF(M8&lt;Inputs!$B$32,"fair",IF(M8&lt;Inputs!$B$33,"easy","trivial")))))</f>
        <v/>
      </c>
      <c r="O8" s="10">
        <f>M8*2*E8/(E8+1)</f>
        <v/>
      </c>
      <c r="P8">
        <f>IF(O8&lt;Inputs!$B$29,"LOSS",IF(O8&lt;Inputs!$B$30,"brutal",IF(O8&lt;Inputs!$B$31,"hard",IF(O8&lt;Inputs!$B$32,"fair",IF(O8&lt;Inputs!$B$33,"easy","trivial")))))</f>
        <v/>
      </c>
      <c r="Q8" s="10">
        <f>(INDEX(Player!$M:$M,D8+1)/I8)^2*2*E8/(E8+1)</f>
        <v/>
      </c>
      <c r="R8">
        <f>IF(Q8&lt;Inputs!$B$29,"LOSS",IF(Q8&lt;Inputs!$B$30,"brutal",IF(Q8&lt;Inputs!$B$31,"hard",IF(Q8&lt;Inputs!$B$32,"fair",IF(Q8&lt;Inputs!$B$33,"easy","trivial")))))</f>
        <v/>
      </c>
      <c r="S8" s="10">
        <f>(INDEX(Player!$N:$N,D8+1)/I8)^2*2*E8/(E8+1)</f>
        <v/>
      </c>
      <c r="T8">
        <f>IF(S8&lt;Inputs!$B$29,"LOSS",IF(S8&lt;Inputs!$B$30,"brutal",IF(S8&lt;Inputs!$B$31,"hard",IF(S8&lt;Inputs!$B$32,"fair",IF(S8&lt;Inputs!$B$33,"easy","trivial")))))</f>
        <v/>
      </c>
      <c r="U8" s="10">
        <f>(INDEX(Player!$H:$H,D8+1)*F8)/(INDEX(Player!$D:$D,D8+1)*E8)</f>
        <v/>
      </c>
      <c r="V8" s="10">
        <f>U8*E8</f>
        <v/>
      </c>
    </row>
    <row r="9">
      <c r="A9" s="4" t="inlineStr">
        <is>
          <t>SSS</t>
        </is>
      </c>
      <c r="B9" t="n">
        <v>96</v>
      </c>
      <c r="C9" t="n">
        <v>99</v>
      </c>
      <c r="D9">
        <f>ROUNDDOWN((B9+C9)/2,0)</f>
        <v/>
      </c>
      <c r="E9" s="5" t="n">
        <v>50</v>
      </c>
      <c r="F9" s="5" t="n">
        <v>1.183</v>
      </c>
      <c r="G9" t="n">
        <v>3.5</v>
      </c>
      <c r="H9">
        <f>INDEX(Player!$I:$I,D9+1)</f>
        <v/>
      </c>
      <c r="I9">
        <f>H9*F9</f>
        <v/>
      </c>
      <c r="J9">
        <f>INDEX(Player!$E:$E,D9+1)*F9</f>
        <v/>
      </c>
      <c r="K9">
        <f>INDEX(Player!$J:$J,D9+1)*F9</f>
        <v/>
      </c>
      <c r="L9">
        <f>INDEX(Player!$F:$F,D9+1)*F9</f>
        <v/>
      </c>
      <c r="M9" s="10">
        <f>(H9/I9)^2</f>
        <v/>
      </c>
      <c r="N9">
        <f>IF(M9&lt;Inputs!$B$29,"LOSS",IF(M9&lt;Inputs!$B$30,"brutal",IF(M9&lt;Inputs!$B$31,"hard",IF(M9&lt;Inputs!$B$32,"fair",IF(M9&lt;Inputs!$B$33,"easy","trivial")))))</f>
        <v/>
      </c>
      <c r="O9" s="10">
        <f>M9*2*E9/(E9+1)</f>
        <v/>
      </c>
      <c r="P9">
        <f>IF(O9&lt;Inputs!$B$29,"LOSS",IF(O9&lt;Inputs!$B$30,"brutal",IF(O9&lt;Inputs!$B$31,"hard",IF(O9&lt;Inputs!$B$32,"fair",IF(O9&lt;Inputs!$B$33,"easy","trivial")))))</f>
        <v/>
      </c>
      <c r="Q9" s="10">
        <f>(INDEX(Player!$M:$M,D9+1)/I9)^2*2*E9/(E9+1)</f>
        <v/>
      </c>
      <c r="R9">
        <f>IF(Q9&lt;Inputs!$B$29,"LOSS",IF(Q9&lt;Inputs!$B$30,"brutal",IF(Q9&lt;Inputs!$B$31,"hard",IF(Q9&lt;Inputs!$B$32,"fair",IF(Q9&lt;Inputs!$B$33,"easy","trivial")))))</f>
        <v/>
      </c>
      <c r="S9" s="10">
        <f>(INDEX(Player!$N:$N,D9+1)/I9)^2*2*E9/(E9+1)</f>
        <v/>
      </c>
      <c r="T9">
        <f>IF(S9&lt;Inputs!$B$29,"LOSS",IF(S9&lt;Inputs!$B$30,"brutal",IF(S9&lt;Inputs!$B$31,"hard",IF(S9&lt;Inputs!$B$32,"fair",IF(S9&lt;Inputs!$B$33,"easy","trivial")))))</f>
        <v/>
      </c>
      <c r="U9" s="10">
        <f>(INDEX(Player!$H:$H,D9+1)*F9)/(INDEX(Player!$D:$D,D9+1)*E9)</f>
        <v/>
      </c>
      <c r="V9" s="10">
        <f>U9*E9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26" customWidth="1" min="3" max="3"/>
    <col width="14" customWidth="1" min="4" max="4"/>
    <col width="10" customWidth="1" min="5" max="5"/>
  </cols>
  <sheetData>
    <row r="1">
      <c r="A1" s="1" t="inlineStr">
        <is>
          <t>REQUIREMENTS &amp; INVARIANTS</t>
        </is>
      </c>
    </row>
    <row r="2">
      <c r="A2" t="inlineStr">
        <is>
          <t>All of these recalculate when you change Inputs or the Ladder multipliers.</t>
        </is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target</t>
        </is>
      </c>
      <c r="D4" s="7" t="inlineStr">
        <is>
          <t>actual</t>
        </is>
      </c>
      <c r="E4" s="7" t="inlineStr">
        <is>
          <t>result</t>
        </is>
      </c>
    </row>
    <row r="5">
      <c r="A5" t="n">
        <v>1</v>
      </c>
      <c r="B5" t="inlineStr">
        <is>
          <t>max player CANNOT solo a same-level S mob</t>
        </is>
      </c>
      <c r="C5" t="inlineStr">
        <is>
          <t>R &lt; 1.0</t>
        </is>
      </c>
      <c r="D5" s="11">
        <f>Ladder!M7</f>
        <v/>
      </c>
      <c r="E5" s="12">
        <f>IF(Ladder!M7&lt;1,"PASS","FAIL")</f>
        <v/>
      </c>
    </row>
    <row r="6">
      <c r="A6" t="n">
        <v>2</v>
      </c>
      <c r="B6" t="inlineStr">
        <is>
          <t>max player cannot EASILY solo same-level A</t>
        </is>
      </c>
      <c r="C6" t="inlineStr">
        <is>
          <t>R &lt; fair</t>
        </is>
      </c>
      <c r="D6" s="11">
        <f>Ladder!M6</f>
        <v/>
      </c>
      <c r="E6" s="12">
        <f>IF(Ladder!M6&lt;Inputs!$B$32,"PASS","FAIL")</f>
        <v/>
      </c>
    </row>
    <row r="7">
      <c r="A7" t="n">
        <v>3</v>
      </c>
      <c r="B7" t="inlineStr">
        <is>
          <t>median player beats same-level C, fair</t>
        </is>
      </c>
      <c r="C7" t="inlineStr">
        <is>
          <t>hard &lt;= R &lt; fair</t>
        </is>
      </c>
      <c r="D7" s="11">
        <f>Ladder!Q4</f>
        <v/>
      </c>
      <c r="E7" s="12">
        <f>IF(AND(Ladder!Q4&gt;=Inputs!$B$31,Ladder!Q4&lt;Inputs!$B$32),"PASS","FAIL")</f>
        <v/>
      </c>
    </row>
    <row r="8">
      <c r="A8" t="n">
        <v>4</v>
      </c>
      <c r="B8" t="inlineStr">
        <is>
          <t>max player beats same-level C, easy</t>
        </is>
      </c>
      <c r="C8" t="inlineStr">
        <is>
          <t>fair &lt;= R &lt; easy</t>
        </is>
      </c>
      <c r="D8" s="11">
        <f>Ladder!O4</f>
        <v/>
      </c>
      <c r="E8" s="12">
        <f>IF(AND(Ladder!O4&gt;=Inputs!$B$32,Ladder!O4&lt;Inputs!$B$33),"PASS","FAIL")</f>
        <v/>
      </c>
    </row>
    <row r="9">
      <c r="A9" t="n">
        <v>5</v>
      </c>
      <c r="B9" t="inlineStr">
        <is>
          <t>20-level growth inside 120-160%</t>
        </is>
      </c>
      <c r="C9" t="inlineStr">
        <is>
          <t>1.20 - 1.60</t>
        </is>
      </c>
      <c r="D9" s="11">
        <f>GROWTH^20-1</f>
        <v/>
      </c>
      <c r="E9" s="12">
        <f>IF(AND(GROWTH^20-1&gt;=1.2,GROWTH^20-1&lt;=1.6),"PASS","FAIL")</f>
        <v/>
      </c>
    </row>
    <row r="10">
      <c r="A10" t="n">
        <v>6</v>
      </c>
      <c r="B10" t="inlineStr">
        <is>
          <t>CS compounds at the growth rate</t>
        </is>
      </c>
      <c r="C10">
        <f> GROWTH</f>
        <v/>
      </c>
      <c r="D10" s="11">
        <f>Player!I3/Player!I2</f>
        <v/>
      </c>
      <c r="E10" s="12">
        <f>IF(ABS(Player!I3/Player!I2-GROWTH)&lt;0.000001,"PASS","FAIL")</f>
        <v/>
      </c>
    </row>
    <row r="11">
      <c r="A11" t="n">
        <v>7</v>
      </c>
      <c r="B11" t="inlineStr">
        <is>
          <t>mitigation % flat across all levels</t>
        </is>
      </c>
      <c r="C11" t="inlineStr">
        <is>
          <t>max - min = 0</t>
        </is>
      </c>
      <c r="D11" s="11">
        <f>MAX(Player!G2:G100)-MIN(Player!G2:G100)</f>
        <v/>
      </c>
      <c r="E11" s="12">
        <f>IF(MAX(Player!G2:G100)-MIN(Player!G2:G100)&lt;0.000001,"PASS","FAIL")</f>
        <v/>
      </c>
    </row>
    <row r="12">
      <c r="A12" t="n">
        <v>8</v>
      </c>
      <c r="B12" t="inlineStr">
        <is>
          <t>stat share &gt;= 25% at EVERY level</t>
        </is>
      </c>
      <c r="C12" t="inlineStr">
        <is>
          <t>&gt;= 25%</t>
        </is>
      </c>
      <c r="D12" s="11">
        <f>MIN(Player!O2:O100)</f>
        <v/>
      </c>
      <c r="E12" s="12">
        <f>IF(MIN(Player!O2:O100)&gt;=0.25,"PASS","FAIL")</f>
        <v/>
      </c>
    </row>
    <row r="13">
      <c r="A13" t="n">
        <v>9</v>
      </c>
      <c r="B13" t="inlineStr">
        <is>
          <t>stat share does not decay with level</t>
        </is>
      </c>
      <c r="C13" t="inlineStr">
        <is>
          <t>max - min = 0</t>
        </is>
      </c>
      <c r="D13" s="11">
        <f>MAX(Player!O2:O100)-MIN(Player!O2:O100)</f>
        <v/>
      </c>
      <c r="E13" s="12">
        <f>IF(MAX(Player!O2:O100)-MIN(Player!O2:O100)&lt;0.000001,"PASS","FAIL")</f>
        <v/>
      </c>
    </row>
    <row r="14">
      <c r="A14" t="n">
        <v>10</v>
      </c>
      <c r="B14" t="inlineStr">
        <is>
          <t>every rank is winnable by its own party size</t>
        </is>
      </c>
      <c r="C14" t="inlineStr">
        <is>
          <t>all R party (max) &gt; 1</t>
        </is>
      </c>
      <c r="D14" s="11">
        <f>MIN(Ladder!O2:O9)</f>
        <v/>
      </c>
      <c r="E14" s="12">
        <f>IF(MIN(Ladder!O2:O9)&gt;1,"PASS","FAIL")</f>
        <v/>
      </c>
    </row>
    <row r="15">
      <c r="A15" t="n">
        <v>11</v>
      </c>
      <c r="B15" t="inlineStr">
        <is>
          <t>S and above are NOT soloable</t>
        </is>
      </c>
      <c r="C15" t="inlineStr">
        <is>
          <t>all R solo &lt; 1 from S up</t>
        </is>
      </c>
      <c r="D15" s="11">
        <f>MAX(Ladder!M7:M9)</f>
        <v/>
      </c>
      <c r="E15" s="12">
        <f>IF(MAX(Ladder!M7:M9)&lt;1,"PASS","FAIL")</f>
        <v/>
      </c>
    </row>
    <row r="16">
      <c r="A16" t="n">
        <v>12</v>
      </c>
      <c r="B16" t="inlineStr">
        <is>
          <t>largest mob HP fits int32</t>
        </is>
      </c>
      <c r="C16" t="inlineStr">
        <is>
          <t>&lt; 2,147,483,647</t>
        </is>
      </c>
      <c r="D16" s="11">
        <f>MAX(Ladder!J2:J9)</f>
        <v/>
      </c>
      <c r="E16" s="12">
        <f>IF(MAX(Ladder!J2:J9)&lt;2147483647,"PASS","FAIL")</f>
        <v/>
      </c>
    </row>
    <row r="17">
      <c r="A17" t="n">
        <v>13</v>
      </c>
      <c r="B17" t="inlineStr">
        <is>
          <t>move speed within its clamp</t>
        </is>
      </c>
      <c r="C17" t="inlineStr">
        <is>
          <t>&lt;= MSPDCAP</t>
        </is>
      </c>
      <c r="D17" s="11">
        <f>MAX(Player!L2:L100)</f>
        <v/>
      </c>
      <c r="E17" s="12">
        <f>IF(MAX(Player!L2:L100)&lt;=MSPDCAP,"PASS","FAIL")</f>
        <v/>
      </c>
    </row>
    <row r="19">
      <c r="B19" s="3" t="inlineStr">
        <is>
          <t>OVERALL</t>
        </is>
      </c>
      <c r="E19" s="3">
        <f>IF(COUNTIF(E5:E17,"FAIL")=0,"ALL PASS",COUNTIF(E5:E17,"FAIL")&amp;" FAILING")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2026-07-28T08:47:17Z</dcterms:created>
  <dcterms:modified xsi:type="dcterms:W3CDTF">2026-07-28T08:47:17Z</dcterms:modified>
</cp:coreProperties>
</file>